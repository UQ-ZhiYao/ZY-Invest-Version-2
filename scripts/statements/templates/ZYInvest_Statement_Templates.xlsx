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C:\Users\ngzy0\Downloads\"/>
    </mc:Choice>
  </mc:AlternateContent>
  <xr:revisionPtr revIDLastSave="0" documentId="13_ncr:1_{FF3387AD-4007-4AB2-BB38-477E5BE013E3}" xr6:coauthVersionLast="47" xr6:coauthVersionMax="47" xr10:uidLastSave="{00000000-0000-0000-0000-000000000000}"/>
  <bookViews>
    <workbookView xWindow="-110" yWindow="-110" windowWidth="25820" windowHeight="16220" xr2:uid="{AB78DA8C-7559-4B2F-853D-3AAE4027A7F8}"/>
  </bookViews>
  <sheets>
    <sheet name="Control" sheetId="1" r:id="rId1"/>
    <sheet name="Data" sheetId="3" r:id="rId2"/>
    <sheet name="D2" sheetId="6" r:id="rId3"/>
    <sheet name="Investor Data" sheetId="8" r:id="rId4"/>
    <sheet name="Factsheet" sheetId="2" r:id="rId5"/>
    <sheet name="Annual" sheetId="12" r:id="rId6"/>
    <sheet name="Subscription" sheetId="14" r:id="rId7"/>
    <sheet name="Dividend" sheetId="10" r:id="rId8"/>
  </sheets>
  <definedNames>
    <definedName name="Adj">Control!$I$13</definedName>
    <definedName name="AID">Annual!$N$15</definedName>
    <definedName name="DNN">Subscription!$E$19</definedName>
    <definedName name="DRN">Subscription!$E$16</definedName>
    <definedName name="ID">Factsheet!$P$6</definedName>
    <definedName name="Name" localSheetId="7">Dividend!$E$15</definedName>
    <definedName name="Name" localSheetId="6">Subscription!$E$15</definedName>
    <definedName name="Name">#REF!</definedName>
    <definedName name="NN">Annual!$E$19</definedName>
    <definedName name="RN">Annual!$E$16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 i="14" l="1"/>
  <c r="N19" i="14" a="1"/>
  <c r="N19" i="14" s="1"/>
  <c r="A25" i="14"/>
  <c r="A24" i="14"/>
  <c r="A23" i="14"/>
  <c r="A9" i="8"/>
  <c r="M24" i="14"/>
  <c r="G25" i="14"/>
  <c r="D6" i="1" l="1"/>
  <c r="H18" i="1" s="1"/>
  <c r="M25" i="14" l="1"/>
  <c r="P25" i="14" s="1"/>
  <c r="A2" i="8" l="1"/>
  <c r="A3" i="8"/>
  <c r="A4" i="8"/>
  <c r="A5" i="8"/>
  <c r="A6" i="8"/>
  <c r="A7" i="8"/>
  <c r="A8" i="8"/>
  <c r="N16" i="14"/>
  <c r="N17" i="14"/>
  <c r="N18" i="14"/>
  <c r="E18" i="14"/>
  <c r="E17" i="14"/>
  <c r="E15" i="14"/>
  <c r="A19" i="14" s="1"/>
  <c r="A11" i="14"/>
  <c r="A10" i="14"/>
  <c r="A9" i="14"/>
  <c r="A8" i="14"/>
  <c r="O8" i="14"/>
  <c r="N19" i="12" a="1"/>
  <c r="N19" i="12" s="1"/>
  <c r="E18" i="12"/>
  <c r="N15" i="14" l="1" a="1"/>
  <c r="N15" i="14" s="1"/>
  <c r="AH9" i="12"/>
  <c r="AH10" i="12"/>
  <c r="AH11" i="12"/>
  <c r="AH12" i="12"/>
  <c r="N15" i="12" l="1" a="1"/>
  <c r="N15" i="12" s="1"/>
  <c r="O26" i="12" l="1"/>
  <c r="O24" i="12"/>
  <c r="G23" i="12"/>
  <c r="K23" i="12"/>
  <c r="N18" i="12"/>
  <c r="N17" i="12"/>
  <c r="N16" i="12"/>
  <c r="A11" i="12"/>
  <c r="T11" i="12" s="1"/>
  <c r="A10" i="12"/>
  <c r="T10" i="12" s="1"/>
  <c r="A9" i="12"/>
  <c r="T9" i="12" s="1"/>
  <c r="A8" i="12"/>
  <c r="T8" i="12" s="1"/>
  <c r="E15" i="12"/>
  <c r="A19" i="12" s="1"/>
  <c r="E17" i="12"/>
  <c r="O8" i="12"/>
  <c r="AH8" i="12" s="1"/>
  <c r="G22" i="10"/>
  <c r="AI16" i="12" l="1"/>
  <c r="AC22" i="12"/>
  <c r="AC23" i="12" s="1"/>
  <c r="AI17" i="12"/>
  <c r="G24" i="12"/>
  <c r="O23" i="12"/>
  <c r="O25" i="12" s="1"/>
  <c r="N23" i="10"/>
  <c r="L22" i="10"/>
  <c r="L21" i="10"/>
  <c r="P22" i="10"/>
  <c r="P21" i="10"/>
  <c r="K24" i="12" l="1"/>
  <c r="AF23" i="12"/>
  <c r="AF22" i="12"/>
  <c r="AI22" i="12" s="1"/>
  <c r="P23" i="10"/>
  <c r="AI23" i="12" l="1"/>
  <c r="AI24" i="12" s="1"/>
  <c r="O27" i="12" s="1"/>
  <c r="O29" i="12" s="1"/>
  <c r="N17" i="10"/>
  <c r="E17" i="10"/>
  <c r="N16" i="10"/>
  <c r="E16" i="10"/>
  <c r="N15" i="10"/>
  <c r="A11" i="10"/>
  <c r="A10" i="10"/>
  <c r="A9" i="10"/>
  <c r="O8" i="10"/>
  <c r="A8" i="10"/>
  <c r="O30" i="12" l="1"/>
  <c r="K42" i="2"/>
  <c r="A2" i="6" l="1" a="1"/>
  <c r="A2" i="6" s="1"/>
  <c r="K25" i="2"/>
  <c r="K11" i="2"/>
  <c r="A11" i="2"/>
  <c r="R5" i="1"/>
  <c r="Q5" i="1"/>
  <c r="P5" i="1"/>
  <c r="O5" i="1"/>
  <c r="N5" i="1"/>
  <c r="M5" i="1"/>
  <c r="R4" i="1"/>
  <c r="Q4" i="1"/>
  <c r="P4" i="1"/>
  <c r="O4" i="1"/>
  <c r="N4" i="1"/>
  <c r="M4" i="1"/>
  <c r="R3" i="1"/>
  <c r="Q3" i="1"/>
  <c r="P3" i="1"/>
  <c r="O3" i="1"/>
  <c r="N3" i="1"/>
  <c r="M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3">
    <bk>
      <extLst>
        <ext uri="{3e2802c4-a4d2-4d8b-9148-e3be6c30e623}">
          <xlrd:rvb i="0"/>
        </ext>
      </extLst>
    </bk>
    <bk>
      <extLst>
        <ext uri="{3e2802c4-a4d2-4d8b-9148-e3be6c30e623}">
          <xlrd:rvb i="1"/>
        </ext>
      </extLst>
    </bk>
    <bk>
      <extLst>
        <ext uri="{3e2802c4-a4d2-4d8b-9148-e3be6c30e623}">
          <xlrd:rvb i="2"/>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<sst xmlns="http://schemas.openxmlformats.org/spreadsheetml/2006/main" count="326" uniqueCount="190">
  <si>
    <t>Manager</t>
  </si>
  <si>
    <t>Fund Category</t>
  </si>
  <si>
    <t>Launch Date</t>
  </si>
  <si>
    <t>Unit Net Asset Value (NAV)</t>
  </si>
  <si>
    <t>Fund Size</t>
  </si>
  <si>
    <t>Unit in Curculation</t>
  </si>
  <si>
    <t>Financial Year End</t>
  </si>
  <si>
    <t>Min. Initial Investment</t>
  </si>
  <si>
    <t>Min. Additional Investment</t>
  </si>
  <si>
    <t>Benchmark</t>
  </si>
  <si>
    <t>Annual Management Fee</t>
  </si>
  <si>
    <t>Distribution Policy</t>
  </si>
  <si>
    <t>Mr. Ng Zhi Yao</t>
  </si>
  <si>
    <t>Equity Fund</t>
  </si>
  <si>
    <t>Investment Strategy:</t>
  </si>
  <si>
    <t>Perfromance Fee</t>
  </si>
  <si>
    <t>At least 80% of gross income</t>
  </si>
  <si>
    <t>Sector</t>
  </si>
  <si>
    <t>Percentage</t>
  </si>
  <si>
    <t>Technology</t>
  </si>
  <si>
    <t>Cash and other assets</t>
  </si>
  <si>
    <t>Money Market Fund</t>
  </si>
  <si>
    <t>*As percentage Net Asset Value (NAV) of the fund.</t>
  </si>
  <si>
    <t>Date</t>
  </si>
  <si>
    <t>%</t>
  </si>
  <si>
    <t>Portfolio</t>
  </si>
  <si>
    <t>FBMKLCI</t>
  </si>
  <si>
    <t>1 Months</t>
  </si>
  <si>
    <t>3 Months</t>
  </si>
  <si>
    <t>6 Months</t>
  </si>
  <si>
    <t>1 Year</t>
  </si>
  <si>
    <t>3 Years</t>
  </si>
  <si>
    <t>All</t>
  </si>
  <si>
    <t>Distribution History:</t>
  </si>
  <si>
    <t>Year</t>
  </si>
  <si>
    <t>Distrubution (Sen)</t>
  </si>
  <si>
    <t>Fund</t>
  </si>
  <si>
    <t>Fund Return</t>
  </si>
  <si>
    <t>KLCI Return</t>
  </si>
  <si>
    <t>TECH Return</t>
  </si>
  <si>
    <t>Asset Name</t>
  </si>
  <si>
    <t>FBMKLCI , Tech Index</t>
  </si>
  <si>
    <t>Tech Index</t>
  </si>
  <si>
    <t>Disclaimer:</t>
  </si>
  <si>
    <t>Manager's Comments:</t>
  </si>
  <si>
    <t>10.0% p.a. of excess return</t>
  </si>
  <si>
    <t>0.10% p.a. of NAV</t>
  </si>
  <si>
    <t>* As percentage Net Asset Value (NAV) of the fund
^ Derivatives: Warrant Securities</t>
  </si>
  <si>
    <t>Investment involves significant risk, including the potential loss of principal. Past performance is not indicative of future results, and market volatility may affect the timing of realized gains. Please note that this portfolio update is intended strictly for family members only; it does not constitute a financial prospectus and is not open to the general public or external investors.</t>
  </si>
  <si>
    <t>Head Office: None</t>
  </si>
  <si>
    <t>Interim</t>
  </si>
  <si>
    <t>Final</t>
  </si>
  <si>
    <t>Description</t>
  </si>
  <si>
    <t>Payout Ratio</t>
  </si>
  <si>
    <t>Line: (60)11-1121 8085       Email: nzy.invest@gmail.com       Website: #N/A</t>
  </si>
  <si>
    <t>ZY Family Vision Portfolio</t>
  </si>
  <si>
    <t>86200 Simpang Renggam</t>
  </si>
  <si>
    <t>Account Summary</t>
  </si>
  <si>
    <t>Statement Period</t>
  </si>
  <si>
    <t>Email Address</t>
  </si>
  <si>
    <t>Telephone No.</t>
  </si>
  <si>
    <t>Page No.</t>
  </si>
  <si>
    <t>:  1/12/2024 - 30/11/2025</t>
  </si>
  <si>
    <t>:  nzy.invest@gmail.com</t>
  </si>
  <si>
    <t>:  (+60)11 - 1121 8085</t>
  </si>
  <si>
    <t>Holding Units</t>
  </si>
  <si>
    <t>Ng Zhi Yao</t>
  </si>
  <si>
    <t>Statement Type</t>
  </si>
  <si>
    <t>Investor's Name</t>
  </si>
  <si>
    <t>Bank Account No.</t>
  </si>
  <si>
    <t>Hong Leong Bank</t>
  </si>
  <si>
    <t>Bank Name</t>
  </si>
  <si>
    <t>Phone Number</t>
  </si>
  <si>
    <t>(+60)11 - 1121 8085</t>
  </si>
  <si>
    <t>ngzy0825@gmail.com</t>
  </si>
  <si>
    <t>Settlement Type</t>
  </si>
  <si>
    <t>Banking</t>
  </si>
  <si>
    <t>:  Annually</t>
  </si>
  <si>
    <t>Realized</t>
  </si>
  <si>
    <t>Fields</t>
  </si>
  <si>
    <t>DPS</t>
  </si>
  <si>
    <t>Dividend Amount</t>
  </si>
  <si>
    <t>Opening</t>
  </si>
  <si>
    <t>FY24 Dividend - Final</t>
  </si>
  <si>
    <t>FY24 Dividend - Interim</t>
  </si>
  <si>
    <t>Closing</t>
  </si>
  <si>
    <t>Balanced (RM)</t>
  </si>
  <si>
    <t>Dividend Transaction</t>
  </si>
  <si>
    <t>Investor's Information</t>
  </si>
  <si>
    <t>:  1  of  2</t>
  </si>
  <si>
    <t>Issued Date</t>
  </si>
  <si>
    <t>INVESTMENT  ACCOUNT  STATEMENT</t>
  </si>
  <si>
    <t>:  2 of 2</t>
  </si>
  <si>
    <t>Principal Transaction</t>
  </si>
  <si>
    <t>Units Balanced</t>
  </si>
  <si>
    <t>Cashflow @ Price</t>
  </si>
  <si>
    <t>IMPORTANT NOTICES</t>
  </si>
  <si>
    <t>Units Issued</t>
  </si>
  <si>
    <t>Avg.Cost (RM)</t>
  </si>
  <si>
    <t>Ng Xin Yu</t>
  </si>
  <si>
    <t>Siah Kim Teck</t>
  </si>
  <si>
    <t>Phone</t>
  </si>
  <si>
    <t>Email</t>
  </si>
  <si>
    <t>Settlement</t>
  </si>
  <si>
    <t>Bank Acc</t>
  </si>
  <si>
    <t>Address</t>
  </si>
  <si>
    <t>osaka88@gmail.com</t>
  </si>
  <si>
    <t>Ng Mon Teng</t>
  </si>
  <si>
    <t>-</t>
  </si>
  <si>
    <t>Postcode</t>
  </si>
  <si>
    <t>81100 Johor Bahru</t>
  </si>
  <si>
    <t>Taman</t>
  </si>
  <si>
    <t>Taman Mount Austin</t>
  </si>
  <si>
    <t>No.19 Jalan Rusa</t>
  </si>
  <si>
    <t>Taman Mohammad Yassin</t>
  </si>
  <si>
    <t>No.2 Jalan Austin Heights 2/11</t>
  </si>
  <si>
    <t>(+60)12 - 7188 288</t>
  </si>
  <si>
    <t>RHB Bank</t>
  </si>
  <si>
    <t>2013 1630 0173 90</t>
  </si>
  <si>
    <t>(+65) 8063 9855</t>
  </si>
  <si>
    <t>ngxy2004@gmail.com</t>
  </si>
  <si>
    <t>Public Bank</t>
  </si>
  <si>
    <t>5048 9996 06</t>
  </si>
  <si>
    <t>(+60)19 - 7781 376</t>
  </si>
  <si>
    <t>(+60)16 - 709 6000</t>
  </si>
  <si>
    <t>kensiah@live.com</t>
  </si>
  <si>
    <t>Malayan Bank</t>
  </si>
  <si>
    <t>1012 8000 3953</t>
  </si>
  <si>
    <t>EPS</t>
  </si>
  <si>
    <t>DPR</t>
  </si>
  <si>
    <t>Interim Dividend</t>
  </si>
  <si>
    <t>Final Dividend</t>
  </si>
  <si>
    <t>Total</t>
  </si>
  <si>
    <t>Notes: EPS: Earning Per Share ; DPR: Dividend Payout Ratio ; DPS: Dividend Per Share</t>
  </si>
  <si>
    <t>:  1  of  1</t>
  </si>
  <si>
    <t>Dividend Details</t>
  </si>
  <si>
    <t>: #N/A</t>
  </si>
  <si>
    <t>DIVIDEND  PAYMENT  STATEMENT</t>
  </si>
  <si>
    <t>219 5015 0638</t>
  </si>
  <si>
    <t>:  12/12/2025</t>
  </si>
  <si>
    <t>PRE SETTING</t>
  </si>
  <si>
    <t>Fit All Rows in one page</t>
  </si>
  <si>
    <t>Zetrix AI Berhad ( f.k.a. MYEG )</t>
  </si>
  <si>
    <t>The portfolio aims to provide our investors ("family members") with a capital appreciation that is potentially higher than the prevailing fixed-deposit rate by investing in high-growth portfolio of stock and fixed income instruments.</t>
  </si>
  <si>
    <t>Account Type</t>
  </si>
  <si>
    <t>Registered Name</t>
  </si>
  <si>
    <t>Phone No.</t>
  </si>
  <si>
    <t>Account ID</t>
  </si>
  <si>
    <t>Direct Account</t>
  </si>
  <si>
    <t>Nominee Account</t>
  </si>
  <si>
    <t>Nominee</t>
  </si>
  <si>
    <t>Ng Zhi Hui</t>
  </si>
  <si>
    <t>Siah Lih Ling</t>
  </si>
  <si>
    <t>Latest Fund Price</t>
  </si>
  <si>
    <t>Dividend Received</t>
  </si>
  <si>
    <t>Average Price</t>
  </si>
  <si>
    <t>Realized Profit &amp; Loss</t>
  </si>
  <si>
    <t>Unrealized Profit &amp; Loss:   ( a )  +  ( b )</t>
  </si>
  <si>
    <t>Total Performance %</t>
  </si>
  <si>
    <t>Annualized Performance* %</t>
  </si>
  <si>
    <t>( a )</t>
  </si>
  <si>
    <t>( b )</t>
  </si>
  <si>
    <t>( c )</t>
  </si>
  <si>
    <t>( d )</t>
  </si>
  <si>
    <t>( e )</t>
  </si>
  <si>
    <t>Total Value (RM)</t>
  </si>
  <si>
    <t>*Powered by Financial Formulation of Internal Rate of Return (IRR) &amp; Mathematical Algorithm Newton's method</t>
  </si>
  <si>
    <t>Total Days Held</t>
  </si>
  <si>
    <t>Cash Settlement</t>
  </si>
  <si>
    <t>Subscription Cost</t>
  </si>
  <si>
    <t>Total Cost</t>
  </si>
  <si>
    <t>Latest Price</t>
  </si>
  <si>
    <t>Dividend Recd</t>
  </si>
  <si>
    <t>Ng Zhi Yao ©</t>
  </si>
  <si>
    <t>nzy.invest@gmail.com</t>
  </si>
  <si>
    <t>( f )</t>
  </si>
  <si>
    <t>Total Profit &amp; Loss:   ( c )  +  ( d )  +  ( e )  +  ( f )</t>
  </si>
  <si>
    <t>Adjustment: #N/A</t>
  </si>
  <si>
    <t>Fund Subscription</t>
  </si>
  <si>
    <t>Unit Balanced</t>
  </si>
  <si>
    <t>Average Cost</t>
  </si>
  <si>
    <t>Siah Woei Sin  &amp;  Siah Woei Pyng</t>
  </si>
  <si>
    <t>Joint Account</t>
  </si>
  <si>
    <t>50% : 50%</t>
  </si>
  <si>
    <t>Investment Value</t>
  </si>
  <si>
    <t>Subscription Price</t>
  </si>
  <si>
    <t>FUND  SUBSCRIPTION  STATEMENT</t>
  </si>
  <si>
    <t>1 : 1</t>
  </si>
  <si>
    <t>:  Daily Statement</t>
  </si>
  <si>
    <t>Adj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</si>
</sst>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3" formatCode="_-* #,##0.00_-;\-* #,##0.00_-;_-* &quot;-&quot;??_-;_-@_-"/>
    <numFmt numFmtId="164" formatCode="mmmm\ yyyy"/>
    <numFmt numFmtId="165" formatCode="dd\ mmmm"/>
    <numFmt numFmtId="166" formatCode="&quot;RM&quot;\ #,##0.00,&quot;K&quot;"/>
    <numFmt numFmtId="167" formatCode="&quot;RM&quot;\ #,##0.0000"/>
    <numFmt numFmtId="168" formatCode="&quot;RM&quot;\ #,##0.00"/>
    <numFmt numFmtId="169" formatCode="0.0%"/>
    <numFmt numFmtId="170" formatCode="0.0;[Red]0.0"/>
    <numFmt numFmtId="171" formatCode="0.0000"/>
    <numFmt numFmtId="172" formatCode="dd\ mmmm\ yyyy"/>
    <numFmt numFmtId="173" formatCode="#,##0.00,\ &quot;k units&quot;"/>
    <numFmt numFmtId="174" formatCode="#,##0.00;[Red]\(#,##0.00\);&quot;-&quot;"/>
    <numFmt numFmtId="175" formatCode="#,##0.0000;[Red]\(#,##0.0000\);&quot;-&quot;"/>
    <numFmt numFmtId="176" formatCode="dd\ \-\ mm\ \-\ yyyy"/>
    <numFmt numFmtId="177" formatCode="_-&quot;RM&quot;* #,##0.00_-"/>
    <numFmt numFmtId="178" formatCode="0.00\ %"/>
    <numFmt numFmtId="179" formatCode="\:\ \ dd/mm/yyyy"/>
    <numFmt numFmtId="180" formatCode="dd\-mmm\-yyyy"/>
    <numFmt numFmtId="181" formatCode="&quot;RM&quot;\ 0.0000;&quot;-&quot;;&quot;-&quot;"/>
    <numFmt numFmtId="182" formatCode="&quot;RM&quot;\ #,##0.00;;&quot;-&quot;"/>
  </numFmts>
  <fonts count="19" x14ac:knownFonts="1">
    <font>
      <sz val="11"/>
      <color theme="1"/>
      <name val="Aptos Narrow"/>
      <family val="2"/>
      <scheme val="minor"/>
    </font>
    <font>
      <sz val="11"/>
      <color theme="1"/>
      <name val="Aptos Narrow"/>
      <family val="2"/>
      <scheme val="minor"/>
    </font>
    <font>
      <b/>
      <sz val="15"/>
      <color rgb="FF0070C0"/>
      <name val="Aptos Narrow"/>
      <family val="2"/>
      <scheme val="minor"/>
    </font>
    <font>
      <b/>
      <sz val="14"/>
      <color rgb="FF0070C0"/>
      <name val="Aptos Narrow"/>
      <family val="2"/>
      <scheme val="minor"/>
    </font>
    <font>
      <sz val="10"/>
      <color theme="1"/>
      <name val="Aptos Narrow"/>
      <family val="2"/>
      <scheme val="minor"/>
    </font>
    <font>
      <sz val="9.5"/>
      <color theme="1"/>
      <name val="Aptos Narrow"/>
      <family val="2"/>
      <scheme val="minor"/>
    </font>
    <font>
      <sz val="9"/>
      <color theme="1"/>
      <name val="Aptos Narrow"/>
      <family val="2"/>
      <scheme val="minor"/>
    </font>
    <font>
      <sz val="10"/>
      <color rgb="FF0070C0"/>
      <name val="Aptos Narrow"/>
      <family val="2"/>
      <scheme val="minor"/>
    </font>
    <font>
      <sz val="8.5"/>
      <color theme="1"/>
      <name val="Aptos Narrow"/>
      <family val="2"/>
      <scheme val="minor"/>
    </font>
    <font>
      <b/>
      <sz val="11"/>
      <color theme="1"/>
      <name val="Aptos Narrow"/>
      <family val="2"/>
      <scheme val="minor"/>
    </font>
    <font>
      <u/>
      <sz val="11"/>
      <color theme="10"/>
      <name val="Aptos Narrow"/>
      <family val="2"/>
      <scheme val="minor"/>
    </font>
    <font>
      <b/>
      <sz val="11"/>
      <color theme="1"/>
      <name val="Times New Roman"/>
      <family val="1"/>
    </font>
    <font>
      <sz val="11"/>
      <color theme="1"/>
      <name val="Times New Roman"/>
      <family val="1"/>
    </font>
    <font>
      <sz val="10.5"/>
      <color theme="1"/>
      <name val="Aptos Narrow"/>
      <family val="2"/>
      <scheme val="minor"/>
    </font>
    <font>
      <sz val="12"/>
      <color theme="1"/>
      <name val="Aptos Narrow"/>
      <family val="2"/>
      <scheme val="minor"/>
    </font>
    <font>
      <u/>
      <sz val="10.5"/>
      <color theme="10"/>
      <name val="Aptos Narrow"/>
      <family val="2"/>
      <scheme val="minor"/>
    </font>
    <font>
      <sz val="8"/>
      <name val="Aptos Narrow"/>
      <family val="2"/>
      <scheme val="minor"/>
    </font>
    <font>
      <i/>
      <sz val="8"/>
      <color theme="1"/>
      <name val="Aptos Narrow"/>
      <family val="2"/>
      <scheme val="minor"/>
    </font>
    <font>
      <sz val="10.5"/>
      <color theme="1"/>
      <name val="Times New Roman"/>
      <family val="1"/>
    </font>
  </fonts>
  <fills count="3">
    <fill>
      <patternFill patternType="none"/>
    </fill>
    <fill>
      <patternFill patternType="gray125"/>
    </fill>
    <fill>
      <patternFill patternType="solid">
        <fgColor theme="7" tint="0.79998168889431442"/>
        <bgColor indexed="64"/>
      </patternFill>
    </fill>
  </fills>
  <borders count="14">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10" fillId="0" borderId="0" applyNumberFormat="0" applyFill="0" applyBorder="0" applyAlignment="0" applyProtection="0"/>
  </cellStyleXfs>
  <cellXfs count="180">
    <xf numFmtId="0" fontId="0" fillId="0" borderId="0" xfId="0"/>
    <xf numFmtId="0" fontId="0" fillId="0" borderId="0" xfId="0" applyAlignment="1">
      <alignment horizontal="right"/>
    </xf>
    <xf numFmtId="0" fontId="0" fillId="0" borderId="0" xfId="0" applyAlignment="1">
      <alignment horizontal="left"/>
    </xf>
    <xf numFmtId="169" fontId="0" fillId="0" borderId="0" xfId="1" applyNumberFormat="1" applyFont="1"/>
    <xf numFmtId="0" fontId="4" fillId="0" borderId="1" xfId="0" applyFont="1" applyBorder="1" applyAlignment="1">
      <alignment horizontal="center"/>
    </xf>
    <xf numFmtId="14" fontId="0" fillId="0" borderId="0" xfId="0" applyNumberFormat="1"/>
    <xf numFmtId="0" fontId="6" fillId="0" borderId="1" xfId="0" applyFont="1" applyBorder="1" applyAlignment="1">
      <alignment horizontal="center"/>
    </xf>
    <xf numFmtId="170" fontId="6" fillId="0" borderId="1" xfId="0" applyNumberFormat="1" applyFont="1" applyBorder="1" applyAlignment="1">
      <alignment horizontal="center" vertical="center"/>
    </xf>
    <xf numFmtId="14" fontId="0" fillId="0" borderId="0" xfId="1" applyNumberFormat="1" applyFont="1"/>
    <xf numFmtId="171" fontId="0" fillId="0" borderId="0" xfId="0" applyNumberFormat="1"/>
    <xf numFmtId="0" fontId="4" fillId="0" borderId="0" xfId="0" applyFont="1" applyAlignment="1">
      <alignment horizontal="right" vertical="center"/>
    </xf>
    <xf numFmtId="0" fontId="4" fillId="0" borderId="0" xfId="0" applyFont="1" applyAlignment="1">
      <alignment vertical="center"/>
    </xf>
    <xf numFmtId="0" fontId="4" fillId="0" borderId="0" xfId="0" applyFont="1" applyAlignment="1">
      <alignment horizontal="left" vertical="center"/>
    </xf>
    <xf numFmtId="172" fontId="4" fillId="0" borderId="0" xfId="0" applyNumberFormat="1" applyFont="1" applyAlignment="1">
      <alignment horizontal="left" vertical="center"/>
    </xf>
    <xf numFmtId="167" fontId="4" fillId="0" borderId="0" xfId="0" applyNumberFormat="1" applyFont="1" applyAlignment="1">
      <alignment horizontal="left" vertical="center"/>
    </xf>
    <xf numFmtId="166" fontId="4" fillId="0" borderId="0" xfId="0" applyNumberFormat="1" applyFont="1" applyAlignment="1">
      <alignment horizontal="left" vertical="center"/>
    </xf>
    <xf numFmtId="173" fontId="4" fillId="0" borderId="0" xfId="0" applyNumberFormat="1" applyFont="1" applyAlignment="1">
      <alignment horizontal="left" vertical="center"/>
    </xf>
    <xf numFmtId="165" fontId="4" fillId="0" borderId="0" xfId="0" applyNumberFormat="1" applyFont="1" applyAlignment="1">
      <alignment horizontal="left" vertical="center"/>
    </xf>
    <xf numFmtId="168" fontId="4" fillId="0" borderId="0" xfId="0" applyNumberFormat="1" applyFont="1" applyAlignment="1">
      <alignment horizontal="left" vertical="center"/>
    </xf>
    <xf numFmtId="0" fontId="0" fillId="0" borderId="2" xfId="0" applyBorder="1"/>
    <xf numFmtId="0" fontId="4" fillId="0" borderId="2" xfId="0" applyFont="1" applyBorder="1"/>
    <xf numFmtId="0" fontId="6" fillId="0" borderId="0" xfId="0" applyFont="1" applyAlignment="1">
      <alignment vertical="top" wrapText="1"/>
    </xf>
    <xf numFmtId="0" fontId="6" fillId="0" borderId="1" xfId="0" applyFont="1" applyBorder="1" applyAlignment="1">
      <alignment horizontal="center" vertical="center"/>
    </xf>
    <xf numFmtId="0" fontId="0" fillId="0" borderId="0" xfId="0" applyAlignment="1">
      <alignment vertical="center"/>
    </xf>
    <xf numFmtId="0" fontId="12" fillId="0" borderId="0" xfId="0" applyFont="1" applyAlignment="1">
      <alignment horizontal="left" indent="1"/>
    </xf>
    <xf numFmtId="0" fontId="14" fillId="0" borderId="0" xfId="0" applyFont="1" applyAlignment="1">
      <alignment horizontal="left" vertical="center" indent="1"/>
    </xf>
    <xf numFmtId="0" fontId="13" fillId="0" borderId="9" xfId="0" applyFont="1" applyBorder="1" applyAlignment="1">
      <alignment vertical="top"/>
    </xf>
    <xf numFmtId="0" fontId="13" fillId="0" borderId="2" xfId="0" applyFont="1" applyBorder="1" applyAlignment="1">
      <alignment vertical="top"/>
    </xf>
    <xf numFmtId="0" fontId="13" fillId="0" borderId="10" xfId="0" applyFont="1" applyBorder="1" applyAlignment="1">
      <alignment vertical="top"/>
    </xf>
    <xf numFmtId="0" fontId="13" fillId="0" borderId="5" xfId="0" applyFont="1" applyBorder="1" applyAlignment="1">
      <alignment vertical="top"/>
    </xf>
    <xf numFmtId="0" fontId="13" fillId="0" borderId="3" xfId="0" applyFont="1" applyBorder="1" applyAlignment="1">
      <alignment vertical="top"/>
    </xf>
    <xf numFmtId="0" fontId="13" fillId="0" borderId="6" xfId="0" applyFont="1" applyBorder="1" applyAlignment="1">
      <alignment vertical="top"/>
    </xf>
    <xf numFmtId="0" fontId="14" fillId="0" borderId="0" xfId="0" applyFont="1" applyAlignment="1">
      <alignment vertical="center"/>
    </xf>
    <xf numFmtId="0" fontId="13" fillId="0" borderId="0" xfId="0" applyFont="1" applyAlignment="1">
      <alignment vertical="center"/>
    </xf>
    <xf numFmtId="176" fontId="13" fillId="0" borderId="0" xfId="0" applyNumberFormat="1" applyFont="1" applyAlignment="1">
      <alignment vertical="top"/>
    </xf>
    <xf numFmtId="0" fontId="13" fillId="0" borderId="0" xfId="0" applyFont="1" applyAlignment="1">
      <alignment vertical="top"/>
    </xf>
    <xf numFmtId="175" fontId="13" fillId="0" borderId="0" xfId="0" applyNumberFormat="1" applyFont="1" applyAlignment="1">
      <alignment vertical="center"/>
    </xf>
    <xf numFmtId="174" fontId="13" fillId="0" borderId="0" xfId="2" applyNumberFormat="1" applyFont="1" applyFill="1" applyBorder="1" applyAlignment="1">
      <alignment vertical="center"/>
    </xf>
    <xf numFmtId="174" fontId="13" fillId="0" borderId="0" xfId="0" applyNumberFormat="1" applyFont="1" applyAlignment="1">
      <alignment vertical="center"/>
    </xf>
    <xf numFmtId="10" fontId="13" fillId="0" borderId="0" xfId="1" applyNumberFormat="1" applyFont="1" applyFill="1" applyBorder="1" applyAlignment="1">
      <alignment vertical="center"/>
    </xf>
    <xf numFmtId="0" fontId="13" fillId="0" borderId="0" xfId="0" applyFont="1" applyAlignment="1">
      <alignment horizontal="left" vertical="center" indent="1"/>
    </xf>
    <xf numFmtId="176" fontId="13" fillId="0" borderId="0" xfId="0" applyNumberFormat="1" applyFont="1" applyAlignment="1">
      <alignment horizontal="left" vertical="top" indent="1"/>
    </xf>
    <xf numFmtId="0" fontId="0" fillId="0" borderId="0" xfId="0" applyAlignment="1">
      <alignment horizontal="left" vertical="center" indent="1"/>
    </xf>
    <xf numFmtId="175" fontId="13" fillId="0" borderId="0" xfId="0" applyNumberFormat="1" applyFont="1" applyAlignment="1">
      <alignment horizontal="left" vertical="center" indent="1"/>
    </xf>
    <xf numFmtId="175" fontId="13" fillId="0" borderId="0" xfId="2" applyNumberFormat="1" applyFont="1" applyFill="1" applyBorder="1" applyAlignment="1">
      <alignment horizontal="left" vertical="center" indent="1"/>
    </xf>
    <xf numFmtId="0" fontId="9" fillId="0" borderId="0" xfId="0" applyFont="1" applyAlignment="1">
      <alignment horizontal="left" vertical="center" indent="1"/>
    </xf>
    <xf numFmtId="174" fontId="13" fillId="0" borderId="0" xfId="2" applyNumberFormat="1" applyFont="1" applyFill="1" applyBorder="1" applyAlignment="1">
      <alignment vertical="top"/>
    </xf>
    <xf numFmtId="0" fontId="10" fillId="0" borderId="0" xfId="3" applyAlignment="1">
      <alignment vertical="center"/>
    </xf>
    <xf numFmtId="14" fontId="0" fillId="0" borderId="0" xfId="0" applyNumberFormat="1" applyAlignment="1">
      <alignment horizontal="center" vertical="center"/>
    </xf>
    <xf numFmtId="46" fontId="0" fillId="0" borderId="0" xfId="0" quotePrefix="1" applyNumberFormat="1" applyAlignment="1">
      <alignment vertical="center"/>
    </xf>
    <xf numFmtId="180" fontId="0" fillId="0" borderId="0" xfId="0" applyNumberFormat="1"/>
    <xf numFmtId="176" fontId="6" fillId="0" borderId="3" xfId="0" applyNumberFormat="1" applyFont="1" applyBorder="1" applyAlignment="1">
      <alignment horizontal="left" vertical="top"/>
    </xf>
    <xf numFmtId="0" fontId="12" fillId="0" borderId="0" xfId="0" applyFont="1" applyAlignment="1">
      <alignment horizontal="left" indent="3"/>
    </xf>
    <xf numFmtId="0" fontId="13" fillId="0" borderId="0" xfId="0" applyFont="1" applyAlignment="1">
      <alignment horizontal="left"/>
    </xf>
    <xf numFmtId="0" fontId="0" fillId="0" borderId="0" xfId="0" applyAlignment="1">
      <alignment horizontal="center" vertical="center"/>
    </xf>
    <xf numFmtId="0" fontId="11" fillId="0" borderId="0" xfId="0" applyFont="1" applyAlignment="1">
      <alignment horizontal="center"/>
    </xf>
    <xf numFmtId="0" fontId="0" fillId="0" borderId="0" xfId="0" applyAlignment="1">
      <alignment horizontal="center"/>
    </xf>
    <xf numFmtId="0" fontId="14" fillId="0" borderId="2" xfId="0" applyFont="1" applyBorder="1" applyAlignment="1">
      <alignment horizontal="left" vertical="center" indent="1"/>
    </xf>
    <xf numFmtId="179" fontId="13" fillId="0" borderId="0" xfId="0" applyNumberFormat="1" applyFont="1" applyAlignment="1">
      <alignment horizontal="left"/>
    </xf>
    <xf numFmtId="0" fontId="13" fillId="0" borderId="4" xfId="0" applyFont="1" applyBorder="1" applyAlignment="1">
      <alignment horizontal="left" vertical="center" indent="1"/>
    </xf>
    <xf numFmtId="2" fontId="13" fillId="0" borderId="4" xfId="0" applyNumberFormat="1" applyFont="1" applyBorder="1" applyAlignment="1">
      <alignment horizontal="left" vertical="center" indent="1"/>
    </xf>
    <xf numFmtId="0" fontId="13" fillId="0" borderId="13" xfId="0" applyFont="1" applyBorder="1" applyAlignment="1">
      <alignment horizontal="center" vertical="center"/>
    </xf>
    <xf numFmtId="0" fontId="13" fillId="0" borderId="11" xfId="0" applyFont="1" applyBorder="1" applyAlignment="1">
      <alignment horizontal="center" vertical="center"/>
    </xf>
    <xf numFmtId="181" fontId="13" fillId="0" borderId="0" xfId="0" applyNumberFormat="1" applyFont="1" applyAlignment="1">
      <alignment horizontal="center" vertical="top"/>
    </xf>
    <xf numFmtId="181" fontId="13" fillId="0" borderId="8" xfId="0" applyNumberFormat="1" applyFont="1" applyBorder="1" applyAlignment="1">
      <alignment horizontal="center" vertical="top"/>
    </xf>
    <xf numFmtId="0" fontId="6" fillId="0" borderId="0" xfId="0" applyFont="1" applyAlignment="1">
      <alignment horizontal="left" indent="1"/>
    </xf>
    <xf numFmtId="0" fontId="6" fillId="0" borderId="3" xfId="0" applyFont="1" applyBorder="1" applyAlignment="1">
      <alignment horizontal="right" vertical="center" indent="1"/>
    </xf>
    <xf numFmtId="0" fontId="13" fillId="0" borderId="12" xfId="0" applyFont="1" applyBorder="1" applyAlignment="1">
      <alignment horizontal="center" vertical="center"/>
    </xf>
    <xf numFmtId="176" fontId="13" fillId="0" borderId="7" xfId="0" applyNumberFormat="1" applyFont="1" applyBorder="1" applyAlignment="1">
      <alignment horizontal="left" vertical="top" indent="1"/>
    </xf>
    <xf numFmtId="176" fontId="13" fillId="0" borderId="0" xfId="0" applyNumberFormat="1" applyFont="1" applyAlignment="1">
      <alignment horizontal="left" vertical="top" indent="1"/>
    </xf>
    <xf numFmtId="0" fontId="13" fillId="0" borderId="7" xfId="0" applyFont="1" applyBorder="1" applyAlignment="1">
      <alignment horizontal="left" vertical="top" indent="1"/>
    </xf>
    <xf numFmtId="0" fontId="13" fillId="0" borderId="0" xfId="0" applyFont="1" applyAlignment="1">
      <alignment horizontal="left" vertical="top" indent="1"/>
    </xf>
    <xf numFmtId="0" fontId="13" fillId="0" borderId="12" xfId="0" applyFont="1" applyBorder="1" applyAlignment="1">
      <alignment horizontal="left" vertical="center" indent="1"/>
    </xf>
    <xf numFmtId="0" fontId="13" fillId="0" borderId="13" xfId="0" applyFont="1" applyBorder="1" applyAlignment="1">
      <alignment horizontal="left" vertical="center" indent="1"/>
    </xf>
    <xf numFmtId="182" fontId="13" fillId="0" borderId="7" xfId="0" applyNumberFormat="1" applyFont="1" applyBorder="1" applyAlignment="1">
      <alignment horizontal="center" vertical="top" wrapText="1"/>
    </xf>
    <xf numFmtId="182" fontId="13" fillId="0" borderId="0" xfId="0" applyNumberFormat="1" applyFont="1" applyAlignment="1">
      <alignment horizontal="center" vertical="top" wrapText="1"/>
    </xf>
    <xf numFmtId="181" fontId="13" fillId="0" borderId="7" xfId="0" applyNumberFormat="1" applyFont="1" applyBorder="1" applyAlignment="1">
      <alignment horizontal="center" vertical="top"/>
    </xf>
    <xf numFmtId="175" fontId="13" fillId="0" borderId="0" xfId="0" applyNumberFormat="1" applyFont="1" applyAlignment="1">
      <alignment horizontal="center" vertical="top"/>
    </xf>
    <xf numFmtId="175" fontId="13" fillId="0" borderId="8" xfId="0" applyNumberFormat="1" applyFont="1" applyBorder="1" applyAlignment="1">
      <alignment horizontal="center" vertical="top"/>
    </xf>
    <xf numFmtId="176" fontId="13" fillId="0" borderId="9" xfId="0" applyNumberFormat="1" applyFont="1" applyBorder="1" applyAlignment="1">
      <alignment horizontal="left" vertical="top" indent="1"/>
    </xf>
    <xf numFmtId="176" fontId="13" fillId="0" borderId="2" xfId="0" applyNumberFormat="1" applyFont="1" applyBorder="1" applyAlignment="1">
      <alignment horizontal="left" vertical="top" indent="1"/>
    </xf>
    <xf numFmtId="0" fontId="13" fillId="0" borderId="9" xfId="0" applyFont="1" applyBorder="1" applyAlignment="1">
      <alignment horizontal="left" vertical="top" wrapText="1" indent="1"/>
    </xf>
    <xf numFmtId="0" fontId="13" fillId="0" borderId="2" xfId="0" applyFont="1" applyBorder="1" applyAlignment="1">
      <alignment horizontal="left" vertical="top" indent="1"/>
    </xf>
    <xf numFmtId="0" fontId="13" fillId="0" borderId="7" xfId="0" applyFont="1" applyBorder="1" applyAlignment="1">
      <alignment horizontal="left" vertical="top" wrapText="1" indent="1"/>
    </xf>
    <xf numFmtId="181" fontId="13" fillId="0" borderId="2" xfId="0" applyNumberFormat="1" applyFont="1" applyBorder="1" applyAlignment="1">
      <alignment horizontal="center" vertical="top"/>
    </xf>
    <xf numFmtId="181" fontId="13" fillId="0" borderId="10" xfId="0" applyNumberFormat="1" applyFont="1" applyBorder="1" applyAlignment="1">
      <alignment horizontal="center" vertical="top"/>
    </xf>
    <xf numFmtId="182" fontId="13" fillId="0" borderId="9" xfId="0" applyNumberFormat="1" applyFont="1" applyBorder="1" applyAlignment="1">
      <alignment horizontal="center" vertical="top" wrapText="1"/>
    </xf>
    <xf numFmtId="182" fontId="13" fillId="0" borderId="2" xfId="0" applyNumberFormat="1" applyFont="1" applyBorder="1" applyAlignment="1">
      <alignment horizontal="center" vertical="top" wrapText="1"/>
    </xf>
    <xf numFmtId="181" fontId="13" fillId="0" borderId="9" xfId="0" applyNumberFormat="1" applyFont="1" applyBorder="1" applyAlignment="1">
      <alignment horizontal="center" vertical="top"/>
    </xf>
    <xf numFmtId="175" fontId="13" fillId="0" borderId="2" xfId="0" applyNumberFormat="1" applyFont="1" applyBorder="1" applyAlignment="1">
      <alignment horizontal="center" vertical="top"/>
    </xf>
    <xf numFmtId="175" fontId="13" fillId="0" borderId="10" xfId="0" applyNumberFormat="1" applyFont="1" applyBorder="1" applyAlignment="1">
      <alignment horizontal="center" vertical="top"/>
    </xf>
    <xf numFmtId="0" fontId="6" fillId="0" borderId="1" xfId="0" applyFont="1" applyBorder="1" applyAlignment="1">
      <alignment horizontal="center" vertical="center"/>
    </xf>
    <xf numFmtId="169" fontId="6" fillId="0" borderId="1" xfId="0" applyNumberFormat="1" applyFont="1" applyBorder="1" applyAlignment="1">
      <alignment horizontal="center" vertical="center"/>
    </xf>
    <xf numFmtId="2" fontId="6" fillId="0" borderId="1" xfId="0" applyNumberFormat="1" applyFont="1" applyBorder="1" applyAlignment="1">
      <alignment horizontal="center" vertical="center"/>
    </xf>
    <xf numFmtId="0" fontId="0" fillId="0" borderId="0" xfId="0" applyAlignment="1">
      <alignment horizontal="left" vertical="center"/>
    </xf>
    <xf numFmtId="0" fontId="6" fillId="0" borderId="0" xfId="0" applyFont="1" applyAlignment="1">
      <alignment horizontal="left" vertical="top" wrapText="1"/>
    </xf>
    <xf numFmtId="0" fontId="6" fillId="0" borderId="0" xfId="0" applyFont="1" applyAlignment="1">
      <alignment horizontal="left" vertical="top"/>
    </xf>
    <xf numFmtId="164" fontId="3" fillId="2" borderId="0" xfId="0" applyNumberFormat="1" applyFont="1" applyFill="1" applyAlignment="1">
      <alignment horizontal="center" vertical="center"/>
    </xf>
    <xf numFmtId="0" fontId="2" fillId="2" borderId="0" xfId="0" applyFont="1" applyFill="1" applyAlignment="1">
      <alignment horizontal="left" vertical="center" indent="1"/>
    </xf>
    <xf numFmtId="0" fontId="7" fillId="2" borderId="0" xfId="0" applyFont="1" applyFill="1" applyAlignment="1">
      <alignment horizontal="left" vertical="center" indent="1"/>
    </xf>
    <xf numFmtId="0" fontId="6" fillId="0" borderId="0" xfId="0" applyFont="1" applyAlignment="1">
      <alignment horizontal="left" vertical="top" indent="1"/>
    </xf>
    <xf numFmtId="0" fontId="5" fillId="0" borderId="0" xfId="0" applyFont="1" applyAlignment="1">
      <alignment horizontal="left" vertical="top" wrapText="1"/>
    </xf>
    <xf numFmtId="0" fontId="9" fillId="0" borderId="0" xfId="0" applyFont="1" applyAlignment="1">
      <alignment horizontal="left"/>
    </xf>
    <xf numFmtId="0" fontId="8" fillId="0" borderId="0" xfId="0" applyFont="1" applyAlignment="1">
      <alignment horizontal="left" vertical="top" wrapText="1" indent="1"/>
    </xf>
    <xf numFmtId="10" fontId="8" fillId="0" borderId="0" xfId="0" applyNumberFormat="1" applyFont="1" applyAlignment="1">
      <alignment horizontal="right" vertical="top" wrapText="1" indent="2"/>
    </xf>
    <xf numFmtId="0" fontId="8" fillId="0" borderId="0" xfId="0" applyFont="1" applyAlignment="1">
      <alignment horizontal="right" vertical="top" indent="2"/>
    </xf>
    <xf numFmtId="0" fontId="6" fillId="0" borderId="2" xfId="0" applyFont="1" applyBorder="1" applyAlignment="1">
      <alignment horizontal="right" indent="2"/>
    </xf>
    <xf numFmtId="0" fontId="6" fillId="0" borderId="2" xfId="0" applyFont="1" applyBorder="1" applyAlignment="1">
      <alignment horizontal="left" indent="1"/>
    </xf>
    <xf numFmtId="0" fontId="0" fillId="0" borderId="12" xfId="0" applyBorder="1" applyAlignment="1">
      <alignment horizontal="center" vertical="center"/>
    </xf>
    <xf numFmtId="0" fontId="0" fillId="0" borderId="11" xfId="0" applyBorder="1" applyAlignment="1">
      <alignment horizontal="center" vertical="center"/>
    </xf>
    <xf numFmtId="0" fontId="0" fillId="0" borderId="13" xfId="0" applyBorder="1" applyAlignment="1">
      <alignment horizontal="center" vertical="center"/>
    </xf>
    <xf numFmtId="176" fontId="13" fillId="0" borderId="5" xfId="0" applyNumberFormat="1" applyFont="1" applyBorder="1" applyAlignment="1">
      <alignment horizontal="left" vertical="top" indent="1"/>
    </xf>
    <xf numFmtId="176" fontId="13" fillId="0" borderId="3" xfId="0" applyNumberFormat="1" applyFont="1" applyBorder="1" applyAlignment="1">
      <alignment horizontal="left" vertical="top" indent="1"/>
    </xf>
    <xf numFmtId="176" fontId="13" fillId="0" borderId="6" xfId="0" applyNumberFormat="1" applyFont="1" applyBorder="1" applyAlignment="1">
      <alignment horizontal="left" vertical="top" indent="1"/>
    </xf>
    <xf numFmtId="0" fontId="13" fillId="0" borderId="5" xfId="0" applyFont="1" applyBorder="1" applyAlignment="1">
      <alignment horizontal="left" vertical="top" indent="1"/>
    </xf>
    <xf numFmtId="0" fontId="13" fillId="0" borderId="3" xfId="0" applyFont="1" applyBorder="1" applyAlignment="1">
      <alignment horizontal="left" vertical="top" indent="1"/>
    </xf>
    <xf numFmtId="0" fontId="13" fillId="0" borderId="6" xfId="0" applyFont="1" applyBorder="1" applyAlignment="1">
      <alignment horizontal="left" vertical="top" indent="1"/>
    </xf>
    <xf numFmtId="174" fontId="13" fillId="0" borderId="5" xfId="0" applyNumberFormat="1" applyFont="1" applyBorder="1" applyAlignment="1">
      <alignment horizontal="center" vertical="top"/>
    </xf>
    <xf numFmtId="174" fontId="13" fillId="0" borderId="3" xfId="0" applyNumberFormat="1" applyFont="1" applyBorder="1" applyAlignment="1">
      <alignment horizontal="center" vertical="top"/>
    </xf>
    <xf numFmtId="174" fontId="13" fillId="0" borderId="6" xfId="0" applyNumberFormat="1" applyFont="1" applyBorder="1" applyAlignment="1">
      <alignment horizontal="center" vertical="top"/>
    </xf>
    <xf numFmtId="0" fontId="13" fillId="0" borderId="4" xfId="0" applyFont="1" applyBorder="1" applyAlignment="1">
      <alignment horizontal="left" vertical="center" indent="5"/>
    </xf>
    <xf numFmtId="175" fontId="13" fillId="0" borderId="4" xfId="0" applyNumberFormat="1" applyFont="1" applyBorder="1" applyAlignment="1">
      <alignment horizontal="right" vertical="center" indent="1"/>
    </xf>
    <xf numFmtId="174" fontId="13" fillId="0" borderId="4" xfId="0" applyNumberFormat="1" applyFont="1" applyBorder="1" applyAlignment="1">
      <alignment horizontal="right" vertical="center" indent="1"/>
    </xf>
    <xf numFmtId="174" fontId="13" fillId="0" borderId="7" xfId="0" applyNumberFormat="1" applyFont="1" applyBorder="1" applyAlignment="1">
      <alignment horizontal="center" vertical="top"/>
    </xf>
    <xf numFmtId="174" fontId="13" fillId="0" borderId="0" xfId="0" applyNumberFormat="1" applyFont="1" applyAlignment="1">
      <alignment horizontal="center" vertical="top"/>
    </xf>
    <xf numFmtId="174" fontId="13" fillId="0" borderId="8" xfId="0" applyNumberFormat="1" applyFont="1" applyBorder="1" applyAlignment="1">
      <alignment horizontal="center" vertical="top"/>
    </xf>
    <xf numFmtId="176" fontId="13" fillId="0" borderId="10" xfId="0" applyNumberFormat="1" applyFont="1" applyBorder="1" applyAlignment="1">
      <alignment horizontal="left" vertical="top" indent="1"/>
    </xf>
    <xf numFmtId="0" fontId="13" fillId="0" borderId="9" xfId="0" applyFont="1" applyBorder="1" applyAlignment="1">
      <alignment horizontal="left" vertical="top" indent="1"/>
    </xf>
    <xf numFmtId="0" fontId="13" fillId="0" borderId="10" xfId="0" applyFont="1" applyBorder="1" applyAlignment="1">
      <alignment horizontal="left" vertical="top" indent="1"/>
    </xf>
    <xf numFmtId="174" fontId="13" fillId="0" borderId="9" xfId="0" applyNumberFormat="1" applyFont="1" applyBorder="1" applyAlignment="1">
      <alignment horizontal="center" vertical="top"/>
    </xf>
    <xf numFmtId="174" fontId="13" fillId="0" borderId="2" xfId="0" applyNumberFormat="1" applyFont="1" applyBorder="1" applyAlignment="1">
      <alignment horizontal="center" vertical="top"/>
    </xf>
    <xf numFmtId="174" fontId="13" fillId="0" borderId="10" xfId="0" applyNumberFormat="1" applyFont="1" applyBorder="1" applyAlignment="1">
      <alignment horizontal="center" vertical="top"/>
    </xf>
    <xf numFmtId="0" fontId="13" fillId="0" borderId="8" xfId="0" applyFont="1" applyBorder="1" applyAlignment="1">
      <alignment horizontal="left" vertical="top" indent="1"/>
    </xf>
    <xf numFmtId="175" fontId="13" fillId="0" borderId="7" xfId="0" applyNumberFormat="1" applyFont="1" applyBorder="1" applyAlignment="1">
      <alignment horizontal="center" vertical="top"/>
    </xf>
    <xf numFmtId="176" fontId="13" fillId="0" borderId="8" xfId="0" applyNumberFormat="1" applyFont="1" applyBorder="1" applyAlignment="1">
      <alignment horizontal="left" vertical="top" indent="1"/>
    </xf>
    <xf numFmtId="0" fontId="17" fillId="0" borderId="0" xfId="0" applyFont="1" applyAlignment="1">
      <alignment horizontal="left" vertical="top" indent="1"/>
    </xf>
    <xf numFmtId="0" fontId="0" fillId="0" borderId="12" xfId="0" applyBorder="1" applyAlignment="1">
      <alignment horizontal="left" vertical="center" indent="1"/>
    </xf>
    <xf numFmtId="0" fontId="0" fillId="0" borderId="13" xfId="0" applyBorder="1" applyAlignment="1">
      <alignment horizontal="left" vertical="center" indent="1"/>
    </xf>
    <xf numFmtId="0" fontId="0" fillId="0" borderId="11" xfId="0" applyBorder="1" applyAlignment="1">
      <alignment horizontal="left" vertical="center" indent="1"/>
    </xf>
    <xf numFmtId="0" fontId="0" fillId="0" borderId="4" xfId="0" applyBorder="1" applyAlignment="1">
      <alignment horizontal="center" vertical="center"/>
    </xf>
    <xf numFmtId="177" fontId="18" fillId="0" borderId="4" xfId="0" applyNumberFormat="1" applyFont="1" applyBorder="1" applyAlignment="1">
      <alignment horizontal="right" vertical="center" indent="1"/>
    </xf>
    <xf numFmtId="0" fontId="13" fillId="0" borderId="4" xfId="0" applyFont="1" applyBorder="1" applyAlignment="1">
      <alignment horizontal="center" vertical="center"/>
    </xf>
    <xf numFmtId="0" fontId="13" fillId="0" borderId="9"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9" xfId="0" applyFont="1" applyBorder="1" applyAlignment="1">
      <alignment horizontal="center" vertical="top"/>
    </xf>
    <xf numFmtId="0" fontId="13" fillId="0" borderId="2" xfId="0" applyFont="1" applyBorder="1" applyAlignment="1">
      <alignment horizontal="center" vertical="top"/>
    </xf>
    <xf numFmtId="0" fontId="13" fillId="0" borderId="10" xfId="0" applyFont="1" applyBorder="1" applyAlignment="1">
      <alignment horizontal="center" vertical="top"/>
    </xf>
    <xf numFmtId="0" fontId="13" fillId="0" borderId="7" xfId="0" applyFont="1" applyBorder="1" applyAlignment="1">
      <alignment horizontal="center" vertical="center" wrapText="1"/>
    </xf>
    <xf numFmtId="0" fontId="13" fillId="0" borderId="0" xfId="0" applyFont="1" applyAlignment="1">
      <alignment horizontal="center" vertical="center" wrapText="1"/>
    </xf>
    <xf numFmtId="0" fontId="13" fillId="0" borderId="7" xfId="0" applyFont="1" applyBorder="1" applyAlignment="1">
      <alignment horizontal="center" vertical="top"/>
    </xf>
    <xf numFmtId="0" fontId="13" fillId="0" borderId="0" xfId="0" applyFont="1" applyAlignment="1">
      <alignment horizontal="center" vertical="top"/>
    </xf>
    <xf numFmtId="0" fontId="13" fillId="0" borderId="8" xfId="0" applyFont="1" applyBorder="1" applyAlignment="1">
      <alignment horizontal="center" vertical="top"/>
    </xf>
    <xf numFmtId="0" fontId="6" fillId="0" borderId="0" xfId="0" applyFont="1" applyAlignment="1">
      <alignment horizontal="right" vertical="center" indent="1"/>
    </xf>
    <xf numFmtId="178" fontId="13" fillId="0" borderId="4" xfId="0" applyNumberFormat="1" applyFont="1" applyBorder="1" applyAlignment="1">
      <alignment horizontal="right" vertical="center" indent="1"/>
    </xf>
    <xf numFmtId="0" fontId="14" fillId="0" borderId="0" xfId="0" applyFont="1" applyAlignment="1">
      <alignment horizontal="left" vertical="center" indent="1"/>
    </xf>
    <xf numFmtId="177" fontId="0" fillId="0" borderId="3" xfId="0" applyNumberFormat="1" applyBorder="1" applyAlignment="1">
      <alignment horizontal="center" vertical="center"/>
    </xf>
    <xf numFmtId="177" fontId="0" fillId="0" borderId="6" xfId="0" applyNumberFormat="1" applyBorder="1" applyAlignment="1">
      <alignment horizontal="center" vertical="center"/>
    </xf>
    <xf numFmtId="0" fontId="15" fillId="0" borderId="4" xfId="3" applyFont="1" applyBorder="1" applyAlignment="1">
      <alignment horizontal="left" vertical="center" indent="1"/>
    </xf>
    <xf numFmtId="176" fontId="13" fillId="0" borderId="5" xfId="0" applyNumberFormat="1" applyFont="1" applyBorder="1" applyAlignment="1">
      <alignment horizontal="left" vertical="center" indent="1"/>
    </xf>
    <xf numFmtId="176" fontId="13" fillId="0" borderId="3" xfId="0" applyNumberFormat="1" applyFont="1" applyBorder="1" applyAlignment="1">
      <alignment horizontal="left" vertical="center" indent="1"/>
    </xf>
    <xf numFmtId="0" fontId="13" fillId="0" borderId="5" xfId="0" applyFont="1" applyBorder="1" applyAlignment="1">
      <alignment horizontal="left" vertical="center" indent="1"/>
    </xf>
    <xf numFmtId="0" fontId="13" fillId="0" borderId="3" xfId="0" applyFont="1" applyBorder="1" applyAlignment="1">
      <alignment horizontal="left" vertical="center" indent="1"/>
    </xf>
    <xf numFmtId="177" fontId="0" fillId="0" borderId="2" xfId="0" applyNumberFormat="1" applyBorder="1" applyAlignment="1">
      <alignment horizontal="center" vertical="center"/>
    </xf>
    <xf numFmtId="177" fontId="0" fillId="0" borderId="10" xfId="0" applyNumberFormat="1" applyBorder="1" applyAlignment="1">
      <alignment horizontal="center" vertical="center"/>
    </xf>
    <xf numFmtId="174" fontId="0" fillId="0" borderId="9" xfId="0" applyNumberFormat="1" applyBorder="1" applyAlignment="1">
      <alignment horizontal="center" vertical="center"/>
    </xf>
    <xf numFmtId="174" fontId="0" fillId="0" borderId="10" xfId="0" applyNumberFormat="1"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176" fontId="13" fillId="0" borderId="9" xfId="0" applyNumberFormat="1" applyFont="1" applyBorder="1" applyAlignment="1">
      <alignment horizontal="left" vertical="center" indent="1"/>
    </xf>
    <xf numFmtId="176" fontId="13" fillId="0" borderId="2" xfId="0" applyNumberFormat="1" applyFont="1" applyBorder="1" applyAlignment="1">
      <alignment horizontal="left" vertical="center" indent="1"/>
    </xf>
    <xf numFmtId="0" fontId="13" fillId="0" borderId="9" xfId="0" applyFont="1" applyBorder="1" applyAlignment="1">
      <alignment horizontal="left" vertical="center" indent="1"/>
    </xf>
    <xf numFmtId="0" fontId="13" fillId="0" borderId="2" xfId="0" applyFont="1" applyBorder="1" applyAlignment="1">
      <alignment horizontal="left" vertical="center" indent="1"/>
    </xf>
    <xf numFmtId="175" fontId="0" fillId="0" borderId="5" xfId="0" applyNumberFormat="1" applyBorder="1" applyAlignment="1">
      <alignment horizontal="center" vertical="center"/>
    </xf>
    <xf numFmtId="175" fontId="0" fillId="0" borderId="3" xfId="0" applyNumberFormat="1" applyBorder="1" applyAlignment="1">
      <alignment horizontal="center" vertical="center"/>
    </xf>
    <xf numFmtId="174" fontId="0" fillId="0" borderId="5" xfId="0" applyNumberFormat="1" applyBorder="1" applyAlignment="1">
      <alignment horizontal="center" vertical="center"/>
    </xf>
    <xf numFmtId="174" fontId="0" fillId="0" borderId="6" xfId="0" applyNumberFormat="1" applyBorder="1" applyAlignment="1">
      <alignment horizontal="center" vertical="center"/>
    </xf>
    <xf numFmtId="169" fontId="0" fillId="0" borderId="3" xfId="1" applyNumberFormat="1" applyFont="1" applyBorder="1" applyAlignment="1">
      <alignment horizontal="center" vertical="center"/>
    </xf>
    <xf numFmtId="175" fontId="0" fillId="0" borderId="9" xfId="0" applyNumberFormat="1" applyBorder="1" applyAlignment="1">
      <alignment horizontal="center" vertical="center"/>
    </xf>
    <xf numFmtId="175" fontId="0" fillId="0" borderId="2" xfId="0" applyNumberFormat="1" applyBorder="1" applyAlignment="1">
      <alignment horizontal="center" vertical="center"/>
    </xf>
    <xf numFmtId="169" fontId="0" fillId="0" borderId="2" xfId="1" applyNumberFormat="1" applyFont="1" applyBorder="1" applyAlignment="1">
      <alignment horizontal="center" vertical="center"/>
    </xf>
  </cellXfs>
  <cellStyles count="4">
    <cellStyle name="Comma" xfId="2" builtinId="3"/>
    <cellStyle name="Hyperlink" xfId="3" builtinId="8"/>
    <cellStyle name="Normal" xfId="0" builtinId="0"/>
    <cellStyle name="Percent" xfId="1" builtinId="5"/>
  </cellStyles>
  <dxfs count="22">
    <dxf>
      <font>
        <color rgb="FF9C0006"/>
      </font>
      <fill>
        <patternFill>
          <bgColor rgb="FFFFC7CE"/>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0" formatCode="General"/>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69"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69853252830711"/>
          <c:y val="0.23072390951638533"/>
          <c:w val="0.64096537130765496"/>
          <c:h val="0.60085736054031968"/>
        </c:manualLayout>
      </c:layout>
      <c:pie3DChart>
        <c:varyColors val="1"/>
        <c:ser>
          <c:idx val="0"/>
          <c:order val="0"/>
          <c:tx>
            <c:strRef>
              <c:f>Control!$I$1</c:f>
              <c:strCache>
                <c:ptCount val="1"/>
                <c:pt idx="0">
                  <c:v>Percentage</c:v>
                </c:pt>
              </c:strCache>
            </c:strRef>
          </c:tx>
          <c:spPr>
            <a:ln w="3175">
              <a:solidFill>
                <a:schemeClr val="bg1">
                  <a:lumMod val="50000"/>
                </a:schemeClr>
              </a:solidFill>
            </a:ln>
          </c:spPr>
          <c:dPt>
            <c:idx val="0"/>
            <c:bubble3D val="0"/>
            <c:spPr>
              <a:solidFill>
                <a:schemeClr val="accent6"/>
              </a:solidFill>
              <a:ln w="3175">
                <a:solidFill>
                  <a:schemeClr val="bg1">
                    <a:lumMod val="50000"/>
                  </a:schemeClr>
                </a:solidFill>
              </a:ln>
              <a:effectLst/>
              <a:sp3d contourW="3175">
                <a:contourClr>
                  <a:schemeClr val="bg1">
                    <a:lumMod val="50000"/>
                  </a:schemeClr>
                </a:contourClr>
              </a:sp3d>
            </c:spPr>
            <c:extLst>
              <c:ext xmlns:c16="http://schemas.microsoft.com/office/drawing/2014/chart" uri="{C3380CC4-5D6E-409C-BE32-E72D297353CC}">
                <c16:uniqueId val="{00000001-EB6E-498D-B1DA-A3701F6268A5}"/>
              </c:ext>
            </c:extLst>
          </c:dPt>
          <c:dPt>
            <c:idx val="1"/>
            <c:bubble3D val="0"/>
            <c:spPr>
              <a:solidFill>
                <a:schemeClr val="accent5"/>
              </a:solidFill>
              <a:ln w="3175">
                <a:solidFill>
                  <a:schemeClr val="bg1">
                    <a:lumMod val="50000"/>
                  </a:schemeClr>
                </a:solidFill>
              </a:ln>
              <a:effectLst/>
              <a:sp3d contourW="3175">
                <a:contourClr>
                  <a:schemeClr val="bg1">
                    <a:lumMod val="50000"/>
                  </a:schemeClr>
                </a:contourClr>
              </a:sp3d>
            </c:spPr>
            <c:extLst>
              <c:ext xmlns:c16="http://schemas.microsoft.com/office/drawing/2014/chart" uri="{C3380CC4-5D6E-409C-BE32-E72D297353CC}">
                <c16:uniqueId val="{00000003-EB6E-498D-B1DA-A3701F6268A5}"/>
              </c:ext>
            </c:extLst>
          </c:dPt>
          <c:dPt>
            <c:idx val="2"/>
            <c:bubble3D val="0"/>
            <c:spPr>
              <a:solidFill>
                <a:schemeClr val="accent4"/>
              </a:solidFill>
              <a:ln w="3175">
                <a:solidFill>
                  <a:schemeClr val="bg1">
                    <a:lumMod val="50000"/>
                  </a:schemeClr>
                </a:solidFill>
              </a:ln>
              <a:effectLst/>
              <a:sp3d contourW="3175">
                <a:contourClr>
                  <a:schemeClr val="bg1">
                    <a:lumMod val="50000"/>
                  </a:schemeClr>
                </a:contourClr>
              </a:sp3d>
            </c:spPr>
            <c:extLst>
              <c:ext xmlns:c16="http://schemas.microsoft.com/office/drawing/2014/chart" uri="{C3380CC4-5D6E-409C-BE32-E72D297353CC}">
                <c16:uniqueId val="{00000005-EB6E-498D-B1DA-A3701F6268A5}"/>
              </c:ext>
            </c:extLst>
          </c:dPt>
          <c:dLbls>
            <c:dLbl>
              <c:idx val="2"/>
              <c:layout>
                <c:manualLayout>
                  <c:x val="0.10708384493514929"/>
                  <c:y val="-7.0180444795596107E-18"/>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EB6E-498D-B1DA-A3701F6268A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Control!$H$2:$H$4</c:f>
              <c:strCache>
                <c:ptCount val="3"/>
                <c:pt idx="0">
                  <c:v>Technology</c:v>
                </c:pt>
                <c:pt idx="1">
                  <c:v>Cash and other assets</c:v>
                </c:pt>
                <c:pt idx="2">
                  <c:v>Money Market Fund</c:v>
                </c:pt>
              </c:strCache>
            </c:strRef>
          </c:cat>
          <c:val>
            <c:numRef>
              <c:f>Control!$I$2:$I$4</c:f>
              <c:numCache>
                <c:formatCode>0.0%</c:formatCode>
                <c:ptCount val="3"/>
                <c:pt idx="0">
                  <c:v>0.76429999999999998</c:v>
                </c:pt>
                <c:pt idx="1">
                  <c:v>0.23599999999999999</c:v>
                </c:pt>
                <c:pt idx="2">
                  <c:v>0</c:v>
                </c:pt>
              </c:numCache>
            </c:numRef>
          </c:val>
          <c:extLst>
            <c:ext xmlns:c16="http://schemas.microsoft.com/office/drawing/2014/chart" uri="{C3380CC4-5D6E-409C-BE32-E72D297353CC}">
              <c16:uniqueId val="{00000008-EB6E-498D-B1DA-A3701F6268A5}"/>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Portfolio</c:v>
          </c:tx>
          <c:spPr>
            <a:ln w="12700" cap="rnd">
              <a:solidFill>
                <a:srgbClr val="00B050"/>
              </a:solidFill>
              <a:round/>
            </a:ln>
            <a:effectLst/>
          </c:spPr>
          <c:marker>
            <c:symbol val="none"/>
          </c:marker>
          <c:cat>
            <c:numRef>
              <c:f>'D2'!$A$2:$A$1101</c:f>
              <c:numCache>
                <c:formatCode>m/d/yyyy</c:formatCode>
                <c:ptCount val="1100"/>
                <c:pt idx="0">
                  <c:v>44543</c:v>
                </c:pt>
                <c:pt idx="1">
                  <c:v>44544</c:v>
                </c:pt>
                <c:pt idx="2">
                  <c:v>44545</c:v>
                </c:pt>
                <c:pt idx="3">
                  <c:v>44546</c:v>
                </c:pt>
                <c:pt idx="4">
                  <c:v>44547</c:v>
                </c:pt>
                <c:pt idx="5">
                  <c:v>44550</c:v>
                </c:pt>
                <c:pt idx="6">
                  <c:v>44551</c:v>
                </c:pt>
                <c:pt idx="7">
                  <c:v>44552</c:v>
                </c:pt>
                <c:pt idx="8">
                  <c:v>44553</c:v>
                </c:pt>
                <c:pt idx="9">
                  <c:v>44554</c:v>
                </c:pt>
                <c:pt idx="10">
                  <c:v>44557</c:v>
                </c:pt>
                <c:pt idx="11">
                  <c:v>44558</c:v>
                </c:pt>
                <c:pt idx="12">
                  <c:v>44559</c:v>
                </c:pt>
                <c:pt idx="13">
                  <c:v>44560</c:v>
                </c:pt>
                <c:pt idx="14">
                  <c:v>44561</c:v>
                </c:pt>
                <c:pt idx="15">
                  <c:v>44564</c:v>
                </c:pt>
                <c:pt idx="16">
                  <c:v>44565</c:v>
                </c:pt>
                <c:pt idx="17">
                  <c:v>44566</c:v>
                </c:pt>
                <c:pt idx="18">
                  <c:v>44567</c:v>
                </c:pt>
                <c:pt idx="19">
                  <c:v>44568</c:v>
                </c:pt>
                <c:pt idx="20">
                  <c:v>44571</c:v>
                </c:pt>
                <c:pt idx="21">
                  <c:v>44572</c:v>
                </c:pt>
                <c:pt idx="22">
                  <c:v>44573</c:v>
                </c:pt>
                <c:pt idx="23">
                  <c:v>44574</c:v>
                </c:pt>
                <c:pt idx="24">
                  <c:v>44575</c:v>
                </c:pt>
                <c:pt idx="25">
                  <c:v>44578</c:v>
                </c:pt>
                <c:pt idx="26">
                  <c:v>44579</c:v>
                </c:pt>
                <c:pt idx="27">
                  <c:v>44580</c:v>
                </c:pt>
                <c:pt idx="28">
                  <c:v>44581</c:v>
                </c:pt>
                <c:pt idx="29">
                  <c:v>44582</c:v>
                </c:pt>
                <c:pt idx="30">
                  <c:v>44585</c:v>
                </c:pt>
                <c:pt idx="31">
                  <c:v>44586</c:v>
                </c:pt>
                <c:pt idx="32">
                  <c:v>44587</c:v>
                </c:pt>
                <c:pt idx="33">
                  <c:v>44588</c:v>
                </c:pt>
                <c:pt idx="34">
                  <c:v>44589</c:v>
                </c:pt>
                <c:pt idx="35">
                  <c:v>44592</c:v>
                </c:pt>
                <c:pt idx="36">
                  <c:v>44593</c:v>
                </c:pt>
                <c:pt idx="37">
                  <c:v>44594</c:v>
                </c:pt>
                <c:pt idx="38">
                  <c:v>44595</c:v>
                </c:pt>
                <c:pt idx="39">
                  <c:v>44596</c:v>
                </c:pt>
                <c:pt idx="40">
                  <c:v>44599</c:v>
                </c:pt>
                <c:pt idx="41">
                  <c:v>44600</c:v>
                </c:pt>
                <c:pt idx="42">
                  <c:v>44601</c:v>
                </c:pt>
                <c:pt idx="43">
                  <c:v>44602</c:v>
                </c:pt>
                <c:pt idx="44">
                  <c:v>44603</c:v>
                </c:pt>
                <c:pt idx="45">
                  <c:v>44606</c:v>
                </c:pt>
                <c:pt idx="46">
                  <c:v>44607</c:v>
                </c:pt>
                <c:pt idx="47">
                  <c:v>44608</c:v>
                </c:pt>
                <c:pt idx="48">
                  <c:v>44609</c:v>
                </c:pt>
                <c:pt idx="49">
                  <c:v>44610</c:v>
                </c:pt>
                <c:pt idx="50">
                  <c:v>44613</c:v>
                </c:pt>
                <c:pt idx="51">
                  <c:v>44614</c:v>
                </c:pt>
                <c:pt idx="52">
                  <c:v>44615</c:v>
                </c:pt>
                <c:pt idx="53">
                  <c:v>44616</c:v>
                </c:pt>
                <c:pt idx="54">
                  <c:v>44617</c:v>
                </c:pt>
                <c:pt idx="55">
                  <c:v>44620</c:v>
                </c:pt>
                <c:pt idx="56">
                  <c:v>44621</c:v>
                </c:pt>
                <c:pt idx="57">
                  <c:v>44622</c:v>
                </c:pt>
                <c:pt idx="58">
                  <c:v>44623</c:v>
                </c:pt>
                <c:pt idx="59">
                  <c:v>44624</c:v>
                </c:pt>
                <c:pt idx="60">
                  <c:v>44627</c:v>
                </c:pt>
                <c:pt idx="61">
                  <c:v>44628</c:v>
                </c:pt>
                <c:pt idx="62">
                  <c:v>44629</c:v>
                </c:pt>
                <c:pt idx="63">
                  <c:v>44630</c:v>
                </c:pt>
                <c:pt idx="64">
                  <c:v>44631</c:v>
                </c:pt>
                <c:pt idx="65">
                  <c:v>44634</c:v>
                </c:pt>
                <c:pt idx="66">
                  <c:v>44635</c:v>
                </c:pt>
                <c:pt idx="67">
                  <c:v>44636</c:v>
                </c:pt>
                <c:pt idx="68">
                  <c:v>44637</c:v>
                </c:pt>
                <c:pt idx="69">
                  <c:v>44638</c:v>
                </c:pt>
                <c:pt idx="70">
                  <c:v>44641</c:v>
                </c:pt>
                <c:pt idx="71">
                  <c:v>44642</c:v>
                </c:pt>
                <c:pt idx="72">
                  <c:v>44643</c:v>
                </c:pt>
                <c:pt idx="73">
                  <c:v>44644</c:v>
                </c:pt>
                <c:pt idx="74">
                  <c:v>44645</c:v>
                </c:pt>
                <c:pt idx="75">
                  <c:v>44648</c:v>
                </c:pt>
                <c:pt idx="76">
                  <c:v>44649</c:v>
                </c:pt>
                <c:pt idx="77">
                  <c:v>44650</c:v>
                </c:pt>
                <c:pt idx="78">
                  <c:v>44651</c:v>
                </c:pt>
                <c:pt idx="79">
                  <c:v>44652</c:v>
                </c:pt>
                <c:pt idx="80">
                  <c:v>44655</c:v>
                </c:pt>
                <c:pt idx="81">
                  <c:v>44656</c:v>
                </c:pt>
                <c:pt idx="82">
                  <c:v>44657</c:v>
                </c:pt>
                <c:pt idx="83">
                  <c:v>44658</c:v>
                </c:pt>
                <c:pt idx="84">
                  <c:v>44659</c:v>
                </c:pt>
                <c:pt idx="85">
                  <c:v>44662</c:v>
                </c:pt>
                <c:pt idx="86">
                  <c:v>44663</c:v>
                </c:pt>
                <c:pt idx="87">
                  <c:v>44664</c:v>
                </c:pt>
                <c:pt idx="88">
                  <c:v>44665</c:v>
                </c:pt>
                <c:pt idx="89">
                  <c:v>44666</c:v>
                </c:pt>
                <c:pt idx="90">
                  <c:v>44669</c:v>
                </c:pt>
                <c:pt idx="91">
                  <c:v>44670</c:v>
                </c:pt>
                <c:pt idx="92">
                  <c:v>44671</c:v>
                </c:pt>
                <c:pt idx="93">
                  <c:v>44672</c:v>
                </c:pt>
                <c:pt idx="94">
                  <c:v>44673</c:v>
                </c:pt>
                <c:pt idx="95">
                  <c:v>44676</c:v>
                </c:pt>
                <c:pt idx="96">
                  <c:v>44677</c:v>
                </c:pt>
                <c:pt idx="97">
                  <c:v>44678</c:v>
                </c:pt>
                <c:pt idx="98">
                  <c:v>44679</c:v>
                </c:pt>
                <c:pt idx="99">
                  <c:v>44680</c:v>
                </c:pt>
                <c:pt idx="100">
                  <c:v>44683</c:v>
                </c:pt>
                <c:pt idx="101">
                  <c:v>44684</c:v>
                </c:pt>
                <c:pt idx="102">
                  <c:v>44685</c:v>
                </c:pt>
                <c:pt idx="103">
                  <c:v>44686</c:v>
                </c:pt>
                <c:pt idx="104">
                  <c:v>44687</c:v>
                </c:pt>
                <c:pt idx="105">
                  <c:v>44690</c:v>
                </c:pt>
                <c:pt idx="106">
                  <c:v>44691</c:v>
                </c:pt>
                <c:pt idx="107">
                  <c:v>44692</c:v>
                </c:pt>
                <c:pt idx="108">
                  <c:v>44693</c:v>
                </c:pt>
                <c:pt idx="109">
                  <c:v>44694</c:v>
                </c:pt>
                <c:pt idx="110">
                  <c:v>44697</c:v>
                </c:pt>
                <c:pt idx="111">
                  <c:v>44698</c:v>
                </c:pt>
                <c:pt idx="112">
                  <c:v>44699</c:v>
                </c:pt>
                <c:pt idx="113">
                  <c:v>44700</c:v>
                </c:pt>
                <c:pt idx="114">
                  <c:v>44701</c:v>
                </c:pt>
                <c:pt idx="115">
                  <c:v>44704</c:v>
                </c:pt>
                <c:pt idx="116">
                  <c:v>44705</c:v>
                </c:pt>
                <c:pt idx="117">
                  <c:v>44706</c:v>
                </c:pt>
                <c:pt idx="118">
                  <c:v>44707</c:v>
                </c:pt>
                <c:pt idx="119">
                  <c:v>44708</c:v>
                </c:pt>
                <c:pt idx="120">
                  <c:v>44711</c:v>
                </c:pt>
                <c:pt idx="121">
                  <c:v>44712</c:v>
                </c:pt>
                <c:pt idx="122">
                  <c:v>44713</c:v>
                </c:pt>
                <c:pt idx="123">
                  <c:v>44714</c:v>
                </c:pt>
                <c:pt idx="124">
                  <c:v>44715</c:v>
                </c:pt>
                <c:pt idx="125">
                  <c:v>44718</c:v>
                </c:pt>
                <c:pt idx="126">
                  <c:v>44719</c:v>
                </c:pt>
                <c:pt idx="127">
                  <c:v>44720</c:v>
                </c:pt>
                <c:pt idx="128">
                  <c:v>44721</c:v>
                </c:pt>
                <c:pt idx="129">
                  <c:v>44722</c:v>
                </c:pt>
                <c:pt idx="130">
                  <c:v>44725</c:v>
                </c:pt>
                <c:pt idx="131">
                  <c:v>44726</c:v>
                </c:pt>
                <c:pt idx="132">
                  <c:v>44727</c:v>
                </c:pt>
                <c:pt idx="133">
                  <c:v>44728</c:v>
                </c:pt>
                <c:pt idx="134">
                  <c:v>44729</c:v>
                </c:pt>
                <c:pt idx="135">
                  <c:v>44732</c:v>
                </c:pt>
                <c:pt idx="136">
                  <c:v>44733</c:v>
                </c:pt>
                <c:pt idx="137">
                  <c:v>44734</c:v>
                </c:pt>
                <c:pt idx="138">
                  <c:v>44735</c:v>
                </c:pt>
                <c:pt idx="139">
                  <c:v>44736</c:v>
                </c:pt>
                <c:pt idx="140">
                  <c:v>44739</c:v>
                </c:pt>
                <c:pt idx="141">
                  <c:v>44740</c:v>
                </c:pt>
                <c:pt idx="142">
                  <c:v>44741</c:v>
                </c:pt>
                <c:pt idx="143">
                  <c:v>44742</c:v>
                </c:pt>
                <c:pt idx="144">
                  <c:v>44743</c:v>
                </c:pt>
                <c:pt idx="145">
                  <c:v>44746</c:v>
                </c:pt>
                <c:pt idx="146">
                  <c:v>44747</c:v>
                </c:pt>
                <c:pt idx="147">
                  <c:v>44748</c:v>
                </c:pt>
                <c:pt idx="148">
                  <c:v>44749</c:v>
                </c:pt>
                <c:pt idx="149">
                  <c:v>44750</c:v>
                </c:pt>
                <c:pt idx="150">
                  <c:v>44753</c:v>
                </c:pt>
                <c:pt idx="151">
                  <c:v>44754</c:v>
                </c:pt>
                <c:pt idx="152">
                  <c:v>44755</c:v>
                </c:pt>
                <c:pt idx="153">
                  <c:v>44756</c:v>
                </c:pt>
                <c:pt idx="154">
                  <c:v>44757</c:v>
                </c:pt>
                <c:pt idx="155">
                  <c:v>44760</c:v>
                </c:pt>
                <c:pt idx="156">
                  <c:v>44761</c:v>
                </c:pt>
                <c:pt idx="157">
                  <c:v>44762</c:v>
                </c:pt>
                <c:pt idx="158">
                  <c:v>44763</c:v>
                </c:pt>
                <c:pt idx="159">
                  <c:v>44764</c:v>
                </c:pt>
                <c:pt idx="160">
                  <c:v>44767</c:v>
                </c:pt>
                <c:pt idx="161">
                  <c:v>44768</c:v>
                </c:pt>
                <c:pt idx="162">
                  <c:v>44769</c:v>
                </c:pt>
                <c:pt idx="163">
                  <c:v>44770</c:v>
                </c:pt>
                <c:pt idx="164">
                  <c:v>44771</c:v>
                </c:pt>
                <c:pt idx="165">
                  <c:v>44774</c:v>
                </c:pt>
                <c:pt idx="166">
                  <c:v>44775</c:v>
                </c:pt>
                <c:pt idx="167">
                  <c:v>44776</c:v>
                </c:pt>
                <c:pt idx="168">
                  <c:v>44777</c:v>
                </c:pt>
                <c:pt idx="169">
                  <c:v>44778</c:v>
                </c:pt>
                <c:pt idx="170">
                  <c:v>44781</c:v>
                </c:pt>
                <c:pt idx="171">
                  <c:v>44782</c:v>
                </c:pt>
                <c:pt idx="172">
                  <c:v>44783</c:v>
                </c:pt>
                <c:pt idx="173">
                  <c:v>44784</c:v>
                </c:pt>
                <c:pt idx="174">
                  <c:v>44785</c:v>
                </c:pt>
                <c:pt idx="175">
                  <c:v>44788</c:v>
                </c:pt>
                <c:pt idx="176">
                  <c:v>44789</c:v>
                </c:pt>
                <c:pt idx="177">
                  <c:v>44790</c:v>
                </c:pt>
                <c:pt idx="178">
                  <c:v>44791</c:v>
                </c:pt>
                <c:pt idx="179">
                  <c:v>44792</c:v>
                </c:pt>
                <c:pt idx="180">
                  <c:v>44795</c:v>
                </c:pt>
                <c:pt idx="181">
                  <c:v>44796</c:v>
                </c:pt>
                <c:pt idx="182">
                  <c:v>44797</c:v>
                </c:pt>
                <c:pt idx="183">
                  <c:v>44798</c:v>
                </c:pt>
                <c:pt idx="184">
                  <c:v>44799</c:v>
                </c:pt>
                <c:pt idx="185">
                  <c:v>44802</c:v>
                </c:pt>
                <c:pt idx="186">
                  <c:v>44803</c:v>
                </c:pt>
                <c:pt idx="187">
                  <c:v>44804</c:v>
                </c:pt>
                <c:pt idx="188">
                  <c:v>44805</c:v>
                </c:pt>
                <c:pt idx="189">
                  <c:v>44806</c:v>
                </c:pt>
                <c:pt idx="190">
                  <c:v>44809</c:v>
                </c:pt>
                <c:pt idx="191">
                  <c:v>44810</c:v>
                </c:pt>
                <c:pt idx="192">
                  <c:v>44811</c:v>
                </c:pt>
                <c:pt idx="193">
                  <c:v>44812</c:v>
                </c:pt>
                <c:pt idx="194">
                  <c:v>44813</c:v>
                </c:pt>
                <c:pt idx="195">
                  <c:v>44816</c:v>
                </c:pt>
                <c:pt idx="196">
                  <c:v>44817</c:v>
                </c:pt>
                <c:pt idx="197">
                  <c:v>44818</c:v>
                </c:pt>
                <c:pt idx="198">
                  <c:v>44819</c:v>
                </c:pt>
                <c:pt idx="199">
                  <c:v>44820</c:v>
                </c:pt>
                <c:pt idx="200">
                  <c:v>44823</c:v>
                </c:pt>
                <c:pt idx="201">
                  <c:v>44824</c:v>
                </c:pt>
                <c:pt idx="202">
                  <c:v>44825</c:v>
                </c:pt>
                <c:pt idx="203">
                  <c:v>44826</c:v>
                </c:pt>
                <c:pt idx="204">
                  <c:v>44827</c:v>
                </c:pt>
                <c:pt idx="205">
                  <c:v>44830</c:v>
                </c:pt>
                <c:pt idx="206">
                  <c:v>44831</c:v>
                </c:pt>
                <c:pt idx="207">
                  <c:v>44832</c:v>
                </c:pt>
                <c:pt idx="208">
                  <c:v>44833</c:v>
                </c:pt>
                <c:pt idx="209">
                  <c:v>44834</c:v>
                </c:pt>
                <c:pt idx="210">
                  <c:v>44837</c:v>
                </c:pt>
                <c:pt idx="211">
                  <c:v>44838</c:v>
                </c:pt>
                <c:pt idx="212">
                  <c:v>44839</c:v>
                </c:pt>
                <c:pt idx="213">
                  <c:v>44840</c:v>
                </c:pt>
                <c:pt idx="214">
                  <c:v>44841</c:v>
                </c:pt>
                <c:pt idx="215">
                  <c:v>44844</c:v>
                </c:pt>
                <c:pt idx="216">
                  <c:v>44845</c:v>
                </c:pt>
                <c:pt idx="217">
                  <c:v>44846</c:v>
                </c:pt>
                <c:pt idx="218">
                  <c:v>44847</c:v>
                </c:pt>
                <c:pt idx="219">
                  <c:v>44848</c:v>
                </c:pt>
                <c:pt idx="220">
                  <c:v>44851</c:v>
                </c:pt>
                <c:pt idx="221">
                  <c:v>44852</c:v>
                </c:pt>
                <c:pt idx="222">
                  <c:v>44853</c:v>
                </c:pt>
                <c:pt idx="223">
                  <c:v>44854</c:v>
                </c:pt>
                <c:pt idx="224">
                  <c:v>44855</c:v>
                </c:pt>
                <c:pt idx="225">
                  <c:v>44858</c:v>
                </c:pt>
                <c:pt idx="226">
                  <c:v>44859</c:v>
                </c:pt>
                <c:pt idx="227">
                  <c:v>44860</c:v>
                </c:pt>
                <c:pt idx="228">
                  <c:v>44861</c:v>
                </c:pt>
                <c:pt idx="229">
                  <c:v>44862</c:v>
                </c:pt>
                <c:pt idx="230">
                  <c:v>44865</c:v>
                </c:pt>
                <c:pt idx="231">
                  <c:v>44866</c:v>
                </c:pt>
                <c:pt idx="232">
                  <c:v>44867</c:v>
                </c:pt>
                <c:pt idx="233">
                  <c:v>44868</c:v>
                </c:pt>
                <c:pt idx="234">
                  <c:v>44869</c:v>
                </c:pt>
                <c:pt idx="235">
                  <c:v>44872</c:v>
                </c:pt>
                <c:pt idx="236">
                  <c:v>44873</c:v>
                </c:pt>
                <c:pt idx="237">
                  <c:v>44874</c:v>
                </c:pt>
                <c:pt idx="238">
                  <c:v>44875</c:v>
                </c:pt>
                <c:pt idx="239">
                  <c:v>44876</c:v>
                </c:pt>
                <c:pt idx="240">
                  <c:v>44879</c:v>
                </c:pt>
                <c:pt idx="241">
                  <c:v>44880</c:v>
                </c:pt>
                <c:pt idx="242">
                  <c:v>44881</c:v>
                </c:pt>
                <c:pt idx="243">
                  <c:v>44882</c:v>
                </c:pt>
                <c:pt idx="244">
                  <c:v>44883</c:v>
                </c:pt>
                <c:pt idx="245">
                  <c:v>44886</c:v>
                </c:pt>
                <c:pt idx="246">
                  <c:v>44887</c:v>
                </c:pt>
                <c:pt idx="247">
                  <c:v>44888</c:v>
                </c:pt>
                <c:pt idx="248">
                  <c:v>44889</c:v>
                </c:pt>
                <c:pt idx="249">
                  <c:v>44890</c:v>
                </c:pt>
                <c:pt idx="250">
                  <c:v>44893</c:v>
                </c:pt>
                <c:pt idx="251">
                  <c:v>44894</c:v>
                </c:pt>
                <c:pt idx="252">
                  <c:v>44895</c:v>
                </c:pt>
                <c:pt idx="253">
                  <c:v>44896</c:v>
                </c:pt>
                <c:pt idx="254">
                  <c:v>44897</c:v>
                </c:pt>
                <c:pt idx="255">
                  <c:v>44900</c:v>
                </c:pt>
                <c:pt idx="256">
                  <c:v>44901</c:v>
                </c:pt>
                <c:pt idx="257">
                  <c:v>44902</c:v>
                </c:pt>
                <c:pt idx="258">
                  <c:v>44903</c:v>
                </c:pt>
                <c:pt idx="259">
                  <c:v>44904</c:v>
                </c:pt>
                <c:pt idx="260">
                  <c:v>44907</c:v>
                </c:pt>
                <c:pt idx="261">
                  <c:v>44908</c:v>
                </c:pt>
                <c:pt idx="262">
                  <c:v>44909</c:v>
                </c:pt>
                <c:pt idx="263">
                  <c:v>44910</c:v>
                </c:pt>
                <c:pt idx="264">
                  <c:v>44911</c:v>
                </c:pt>
                <c:pt idx="265">
                  <c:v>44914</c:v>
                </c:pt>
                <c:pt idx="266">
                  <c:v>44915</c:v>
                </c:pt>
                <c:pt idx="267">
                  <c:v>44916</c:v>
                </c:pt>
                <c:pt idx="268">
                  <c:v>44917</c:v>
                </c:pt>
                <c:pt idx="269">
                  <c:v>44918</c:v>
                </c:pt>
                <c:pt idx="270">
                  <c:v>44921</c:v>
                </c:pt>
                <c:pt idx="271">
                  <c:v>44922</c:v>
                </c:pt>
                <c:pt idx="272">
                  <c:v>44923</c:v>
                </c:pt>
                <c:pt idx="273">
                  <c:v>44924</c:v>
                </c:pt>
                <c:pt idx="274">
                  <c:v>44925</c:v>
                </c:pt>
                <c:pt idx="275">
                  <c:v>44928</c:v>
                </c:pt>
                <c:pt idx="276">
                  <c:v>44929</c:v>
                </c:pt>
                <c:pt idx="277">
                  <c:v>44930</c:v>
                </c:pt>
                <c:pt idx="278">
                  <c:v>44931</c:v>
                </c:pt>
                <c:pt idx="279">
                  <c:v>44932</c:v>
                </c:pt>
                <c:pt idx="280">
                  <c:v>44935</c:v>
                </c:pt>
                <c:pt idx="281">
                  <c:v>44936</c:v>
                </c:pt>
                <c:pt idx="282">
                  <c:v>44937</c:v>
                </c:pt>
                <c:pt idx="283">
                  <c:v>44938</c:v>
                </c:pt>
                <c:pt idx="284">
                  <c:v>44939</c:v>
                </c:pt>
                <c:pt idx="285">
                  <c:v>44942</c:v>
                </c:pt>
                <c:pt idx="286">
                  <c:v>44943</c:v>
                </c:pt>
                <c:pt idx="287">
                  <c:v>44944</c:v>
                </c:pt>
                <c:pt idx="288">
                  <c:v>44945</c:v>
                </c:pt>
                <c:pt idx="289">
                  <c:v>44946</c:v>
                </c:pt>
                <c:pt idx="290">
                  <c:v>44949</c:v>
                </c:pt>
                <c:pt idx="291">
                  <c:v>44950</c:v>
                </c:pt>
                <c:pt idx="292">
                  <c:v>44951</c:v>
                </c:pt>
                <c:pt idx="293">
                  <c:v>44952</c:v>
                </c:pt>
                <c:pt idx="294">
                  <c:v>44953</c:v>
                </c:pt>
                <c:pt idx="295">
                  <c:v>44956</c:v>
                </c:pt>
                <c:pt idx="296">
                  <c:v>44957</c:v>
                </c:pt>
                <c:pt idx="297">
                  <c:v>44958</c:v>
                </c:pt>
                <c:pt idx="298">
                  <c:v>44959</c:v>
                </c:pt>
                <c:pt idx="299">
                  <c:v>44960</c:v>
                </c:pt>
                <c:pt idx="300">
                  <c:v>44963</c:v>
                </c:pt>
                <c:pt idx="301">
                  <c:v>44964</c:v>
                </c:pt>
                <c:pt idx="302">
                  <c:v>44965</c:v>
                </c:pt>
                <c:pt idx="303">
                  <c:v>44966</c:v>
                </c:pt>
                <c:pt idx="304">
                  <c:v>44967</c:v>
                </c:pt>
                <c:pt idx="305">
                  <c:v>44970</c:v>
                </c:pt>
                <c:pt idx="306">
                  <c:v>44971</c:v>
                </c:pt>
                <c:pt idx="307">
                  <c:v>44972</c:v>
                </c:pt>
                <c:pt idx="308">
                  <c:v>44973</c:v>
                </c:pt>
                <c:pt idx="309">
                  <c:v>44974</c:v>
                </c:pt>
                <c:pt idx="310">
                  <c:v>44977</c:v>
                </c:pt>
                <c:pt idx="311">
                  <c:v>44978</c:v>
                </c:pt>
                <c:pt idx="312">
                  <c:v>44979</c:v>
                </c:pt>
                <c:pt idx="313">
                  <c:v>44980</c:v>
                </c:pt>
                <c:pt idx="314">
                  <c:v>44981</c:v>
                </c:pt>
                <c:pt idx="315">
                  <c:v>44984</c:v>
                </c:pt>
                <c:pt idx="316">
                  <c:v>44985</c:v>
                </c:pt>
                <c:pt idx="317">
                  <c:v>44986</c:v>
                </c:pt>
                <c:pt idx="318">
                  <c:v>44987</c:v>
                </c:pt>
                <c:pt idx="319">
                  <c:v>44988</c:v>
                </c:pt>
                <c:pt idx="320">
                  <c:v>44991</c:v>
                </c:pt>
                <c:pt idx="321">
                  <c:v>44992</c:v>
                </c:pt>
                <c:pt idx="322">
                  <c:v>44993</c:v>
                </c:pt>
                <c:pt idx="323">
                  <c:v>44994</c:v>
                </c:pt>
                <c:pt idx="324">
                  <c:v>44995</c:v>
                </c:pt>
                <c:pt idx="325">
                  <c:v>44998</c:v>
                </c:pt>
                <c:pt idx="326">
                  <c:v>44999</c:v>
                </c:pt>
                <c:pt idx="327">
                  <c:v>45000</c:v>
                </c:pt>
                <c:pt idx="328">
                  <c:v>45001</c:v>
                </c:pt>
                <c:pt idx="329">
                  <c:v>45002</c:v>
                </c:pt>
                <c:pt idx="330">
                  <c:v>45005</c:v>
                </c:pt>
                <c:pt idx="331">
                  <c:v>45006</c:v>
                </c:pt>
                <c:pt idx="332">
                  <c:v>45007</c:v>
                </c:pt>
                <c:pt idx="333">
                  <c:v>45008</c:v>
                </c:pt>
                <c:pt idx="334">
                  <c:v>45009</c:v>
                </c:pt>
                <c:pt idx="335">
                  <c:v>45012</c:v>
                </c:pt>
                <c:pt idx="336">
                  <c:v>45013</c:v>
                </c:pt>
                <c:pt idx="337">
                  <c:v>45014</c:v>
                </c:pt>
                <c:pt idx="338">
                  <c:v>45015</c:v>
                </c:pt>
                <c:pt idx="339">
                  <c:v>45016</c:v>
                </c:pt>
                <c:pt idx="340">
                  <c:v>45019</c:v>
                </c:pt>
                <c:pt idx="341">
                  <c:v>45020</c:v>
                </c:pt>
                <c:pt idx="342">
                  <c:v>45021</c:v>
                </c:pt>
                <c:pt idx="343">
                  <c:v>45022</c:v>
                </c:pt>
                <c:pt idx="344">
                  <c:v>45023</c:v>
                </c:pt>
                <c:pt idx="345">
                  <c:v>45026</c:v>
                </c:pt>
                <c:pt idx="346">
                  <c:v>45027</c:v>
                </c:pt>
                <c:pt idx="347">
                  <c:v>45028</c:v>
                </c:pt>
                <c:pt idx="348">
                  <c:v>45029</c:v>
                </c:pt>
                <c:pt idx="349">
                  <c:v>45030</c:v>
                </c:pt>
                <c:pt idx="350">
                  <c:v>45033</c:v>
                </c:pt>
                <c:pt idx="351">
                  <c:v>45034</c:v>
                </c:pt>
                <c:pt idx="352">
                  <c:v>45035</c:v>
                </c:pt>
                <c:pt idx="353">
                  <c:v>45036</c:v>
                </c:pt>
                <c:pt idx="354">
                  <c:v>45037</c:v>
                </c:pt>
                <c:pt idx="355">
                  <c:v>45040</c:v>
                </c:pt>
                <c:pt idx="356">
                  <c:v>45041</c:v>
                </c:pt>
                <c:pt idx="357">
                  <c:v>45042</c:v>
                </c:pt>
                <c:pt idx="358">
                  <c:v>45043</c:v>
                </c:pt>
                <c:pt idx="359">
                  <c:v>45044</c:v>
                </c:pt>
                <c:pt idx="360">
                  <c:v>45047</c:v>
                </c:pt>
                <c:pt idx="361">
                  <c:v>45048</c:v>
                </c:pt>
                <c:pt idx="362">
                  <c:v>45049</c:v>
                </c:pt>
                <c:pt idx="363">
                  <c:v>45050</c:v>
                </c:pt>
                <c:pt idx="364">
                  <c:v>45051</c:v>
                </c:pt>
                <c:pt idx="365">
                  <c:v>45054</c:v>
                </c:pt>
                <c:pt idx="366">
                  <c:v>45055</c:v>
                </c:pt>
                <c:pt idx="367">
                  <c:v>45056</c:v>
                </c:pt>
                <c:pt idx="368">
                  <c:v>45057</c:v>
                </c:pt>
                <c:pt idx="369">
                  <c:v>45058</c:v>
                </c:pt>
                <c:pt idx="370">
                  <c:v>45061</c:v>
                </c:pt>
                <c:pt idx="371">
                  <c:v>45062</c:v>
                </c:pt>
                <c:pt idx="372">
                  <c:v>45063</c:v>
                </c:pt>
                <c:pt idx="373">
                  <c:v>45064</c:v>
                </c:pt>
                <c:pt idx="374">
                  <c:v>45065</c:v>
                </c:pt>
                <c:pt idx="375">
                  <c:v>45068</c:v>
                </c:pt>
                <c:pt idx="376">
                  <c:v>45069</c:v>
                </c:pt>
                <c:pt idx="377">
                  <c:v>45070</c:v>
                </c:pt>
                <c:pt idx="378">
                  <c:v>45071</c:v>
                </c:pt>
                <c:pt idx="379">
                  <c:v>45072</c:v>
                </c:pt>
                <c:pt idx="380">
                  <c:v>45075</c:v>
                </c:pt>
                <c:pt idx="381">
                  <c:v>45076</c:v>
                </c:pt>
                <c:pt idx="382">
                  <c:v>45077</c:v>
                </c:pt>
                <c:pt idx="383">
                  <c:v>45078</c:v>
                </c:pt>
                <c:pt idx="384">
                  <c:v>45079</c:v>
                </c:pt>
                <c:pt idx="385">
                  <c:v>45082</c:v>
                </c:pt>
                <c:pt idx="386">
                  <c:v>45083</c:v>
                </c:pt>
                <c:pt idx="387">
                  <c:v>45084</c:v>
                </c:pt>
                <c:pt idx="388">
                  <c:v>45085</c:v>
                </c:pt>
                <c:pt idx="389">
                  <c:v>45086</c:v>
                </c:pt>
                <c:pt idx="390">
                  <c:v>45089</c:v>
                </c:pt>
                <c:pt idx="391">
                  <c:v>45090</c:v>
                </c:pt>
                <c:pt idx="392">
                  <c:v>45091</c:v>
                </c:pt>
                <c:pt idx="393">
                  <c:v>45092</c:v>
                </c:pt>
                <c:pt idx="394">
                  <c:v>45093</c:v>
                </c:pt>
                <c:pt idx="395">
                  <c:v>45096</c:v>
                </c:pt>
                <c:pt idx="396">
                  <c:v>45097</c:v>
                </c:pt>
                <c:pt idx="397">
                  <c:v>45098</c:v>
                </c:pt>
                <c:pt idx="398">
                  <c:v>45099</c:v>
                </c:pt>
                <c:pt idx="399">
                  <c:v>45100</c:v>
                </c:pt>
                <c:pt idx="400">
                  <c:v>45103</c:v>
                </c:pt>
                <c:pt idx="401">
                  <c:v>45104</c:v>
                </c:pt>
                <c:pt idx="402">
                  <c:v>45105</c:v>
                </c:pt>
                <c:pt idx="403">
                  <c:v>45106</c:v>
                </c:pt>
                <c:pt idx="404">
                  <c:v>45107</c:v>
                </c:pt>
                <c:pt idx="405">
                  <c:v>45110</c:v>
                </c:pt>
                <c:pt idx="406">
                  <c:v>45111</c:v>
                </c:pt>
                <c:pt idx="407">
                  <c:v>45112</c:v>
                </c:pt>
                <c:pt idx="408">
                  <c:v>45113</c:v>
                </c:pt>
                <c:pt idx="409">
                  <c:v>45114</c:v>
                </c:pt>
                <c:pt idx="410">
                  <c:v>45117</c:v>
                </c:pt>
                <c:pt idx="411">
                  <c:v>45118</c:v>
                </c:pt>
                <c:pt idx="412">
                  <c:v>45119</c:v>
                </c:pt>
                <c:pt idx="413">
                  <c:v>45120</c:v>
                </c:pt>
                <c:pt idx="414">
                  <c:v>45121</c:v>
                </c:pt>
                <c:pt idx="415">
                  <c:v>45124</c:v>
                </c:pt>
                <c:pt idx="416">
                  <c:v>45125</c:v>
                </c:pt>
                <c:pt idx="417">
                  <c:v>45126</c:v>
                </c:pt>
                <c:pt idx="418">
                  <c:v>45127</c:v>
                </c:pt>
                <c:pt idx="419">
                  <c:v>45128</c:v>
                </c:pt>
                <c:pt idx="420">
                  <c:v>45131</c:v>
                </c:pt>
                <c:pt idx="421">
                  <c:v>45132</c:v>
                </c:pt>
                <c:pt idx="422">
                  <c:v>45133</c:v>
                </c:pt>
                <c:pt idx="423">
                  <c:v>45134</c:v>
                </c:pt>
                <c:pt idx="424">
                  <c:v>45135</c:v>
                </c:pt>
                <c:pt idx="425">
                  <c:v>45138</c:v>
                </c:pt>
                <c:pt idx="426">
                  <c:v>45139</c:v>
                </c:pt>
                <c:pt idx="427">
                  <c:v>45140</c:v>
                </c:pt>
                <c:pt idx="428">
                  <c:v>45141</c:v>
                </c:pt>
                <c:pt idx="429">
                  <c:v>45142</c:v>
                </c:pt>
                <c:pt idx="430">
                  <c:v>45145</c:v>
                </c:pt>
                <c:pt idx="431">
                  <c:v>45146</c:v>
                </c:pt>
                <c:pt idx="432">
                  <c:v>45147</c:v>
                </c:pt>
                <c:pt idx="433">
                  <c:v>45148</c:v>
                </c:pt>
                <c:pt idx="434">
                  <c:v>45149</c:v>
                </c:pt>
                <c:pt idx="435">
                  <c:v>45152</c:v>
                </c:pt>
                <c:pt idx="436">
                  <c:v>45153</c:v>
                </c:pt>
                <c:pt idx="437">
                  <c:v>45154</c:v>
                </c:pt>
                <c:pt idx="438">
                  <c:v>45155</c:v>
                </c:pt>
                <c:pt idx="439">
                  <c:v>45156</c:v>
                </c:pt>
                <c:pt idx="440">
                  <c:v>45159</c:v>
                </c:pt>
                <c:pt idx="441">
                  <c:v>45160</c:v>
                </c:pt>
                <c:pt idx="442">
                  <c:v>45161</c:v>
                </c:pt>
                <c:pt idx="443">
                  <c:v>45162</c:v>
                </c:pt>
                <c:pt idx="444">
                  <c:v>45163</c:v>
                </c:pt>
                <c:pt idx="445">
                  <c:v>45166</c:v>
                </c:pt>
                <c:pt idx="446">
                  <c:v>45167</c:v>
                </c:pt>
                <c:pt idx="447">
                  <c:v>45168</c:v>
                </c:pt>
                <c:pt idx="448">
                  <c:v>45169</c:v>
                </c:pt>
                <c:pt idx="449">
                  <c:v>45170</c:v>
                </c:pt>
                <c:pt idx="450">
                  <c:v>45173</c:v>
                </c:pt>
                <c:pt idx="451">
                  <c:v>45174</c:v>
                </c:pt>
                <c:pt idx="452">
                  <c:v>45175</c:v>
                </c:pt>
                <c:pt idx="453">
                  <c:v>45176</c:v>
                </c:pt>
                <c:pt idx="454">
                  <c:v>45177</c:v>
                </c:pt>
                <c:pt idx="455">
                  <c:v>45180</c:v>
                </c:pt>
                <c:pt idx="456">
                  <c:v>45181</c:v>
                </c:pt>
                <c:pt idx="457">
                  <c:v>45182</c:v>
                </c:pt>
                <c:pt idx="458">
                  <c:v>45183</c:v>
                </c:pt>
                <c:pt idx="459">
                  <c:v>45184</c:v>
                </c:pt>
                <c:pt idx="460">
                  <c:v>45187</c:v>
                </c:pt>
                <c:pt idx="461">
                  <c:v>45188</c:v>
                </c:pt>
                <c:pt idx="462">
                  <c:v>45189</c:v>
                </c:pt>
                <c:pt idx="463">
                  <c:v>45190</c:v>
                </c:pt>
                <c:pt idx="464">
                  <c:v>45191</c:v>
                </c:pt>
                <c:pt idx="465">
                  <c:v>45194</c:v>
                </c:pt>
                <c:pt idx="466">
                  <c:v>45195</c:v>
                </c:pt>
                <c:pt idx="467">
                  <c:v>45196</c:v>
                </c:pt>
                <c:pt idx="468">
                  <c:v>45197</c:v>
                </c:pt>
                <c:pt idx="469">
                  <c:v>45198</c:v>
                </c:pt>
                <c:pt idx="470">
                  <c:v>45201</c:v>
                </c:pt>
                <c:pt idx="471">
                  <c:v>45202</c:v>
                </c:pt>
                <c:pt idx="472">
                  <c:v>45203</c:v>
                </c:pt>
                <c:pt idx="473">
                  <c:v>45204</c:v>
                </c:pt>
                <c:pt idx="474">
                  <c:v>45205</c:v>
                </c:pt>
                <c:pt idx="475">
                  <c:v>45208</c:v>
                </c:pt>
                <c:pt idx="476">
                  <c:v>45209</c:v>
                </c:pt>
                <c:pt idx="477">
                  <c:v>45210</c:v>
                </c:pt>
                <c:pt idx="478">
                  <c:v>45211</c:v>
                </c:pt>
                <c:pt idx="479">
                  <c:v>45212</c:v>
                </c:pt>
                <c:pt idx="480">
                  <c:v>45215</c:v>
                </c:pt>
                <c:pt idx="481">
                  <c:v>45216</c:v>
                </c:pt>
                <c:pt idx="482">
                  <c:v>45217</c:v>
                </c:pt>
                <c:pt idx="483">
                  <c:v>45218</c:v>
                </c:pt>
                <c:pt idx="484">
                  <c:v>45219</c:v>
                </c:pt>
                <c:pt idx="485">
                  <c:v>45222</c:v>
                </c:pt>
                <c:pt idx="486">
                  <c:v>45223</c:v>
                </c:pt>
                <c:pt idx="487">
                  <c:v>45224</c:v>
                </c:pt>
                <c:pt idx="488">
                  <c:v>45225</c:v>
                </c:pt>
                <c:pt idx="489">
                  <c:v>45226</c:v>
                </c:pt>
                <c:pt idx="490">
                  <c:v>45229</c:v>
                </c:pt>
                <c:pt idx="491">
                  <c:v>45230</c:v>
                </c:pt>
                <c:pt idx="492">
                  <c:v>45231</c:v>
                </c:pt>
                <c:pt idx="493">
                  <c:v>45232</c:v>
                </c:pt>
                <c:pt idx="494">
                  <c:v>45233</c:v>
                </c:pt>
                <c:pt idx="495">
                  <c:v>45236</c:v>
                </c:pt>
                <c:pt idx="496">
                  <c:v>45237</c:v>
                </c:pt>
                <c:pt idx="497">
                  <c:v>45238</c:v>
                </c:pt>
                <c:pt idx="498">
                  <c:v>45239</c:v>
                </c:pt>
                <c:pt idx="499">
                  <c:v>45240</c:v>
                </c:pt>
                <c:pt idx="500">
                  <c:v>45243</c:v>
                </c:pt>
                <c:pt idx="501">
                  <c:v>45244</c:v>
                </c:pt>
                <c:pt idx="502">
                  <c:v>45245</c:v>
                </c:pt>
                <c:pt idx="503">
                  <c:v>45246</c:v>
                </c:pt>
                <c:pt idx="504">
                  <c:v>45247</c:v>
                </c:pt>
                <c:pt idx="505">
                  <c:v>45250</c:v>
                </c:pt>
                <c:pt idx="506">
                  <c:v>45251</c:v>
                </c:pt>
                <c:pt idx="507">
                  <c:v>45252</c:v>
                </c:pt>
                <c:pt idx="508">
                  <c:v>45253</c:v>
                </c:pt>
                <c:pt idx="509">
                  <c:v>45254</c:v>
                </c:pt>
                <c:pt idx="510">
                  <c:v>45257</c:v>
                </c:pt>
                <c:pt idx="511">
                  <c:v>45258</c:v>
                </c:pt>
                <c:pt idx="512">
                  <c:v>45259</c:v>
                </c:pt>
                <c:pt idx="513">
                  <c:v>45260</c:v>
                </c:pt>
                <c:pt idx="514">
                  <c:v>45261</c:v>
                </c:pt>
                <c:pt idx="515">
                  <c:v>45264</c:v>
                </c:pt>
                <c:pt idx="516">
                  <c:v>45265</c:v>
                </c:pt>
                <c:pt idx="517">
                  <c:v>45266</c:v>
                </c:pt>
                <c:pt idx="518">
                  <c:v>45267</c:v>
                </c:pt>
                <c:pt idx="519">
                  <c:v>45268</c:v>
                </c:pt>
                <c:pt idx="520">
                  <c:v>45271</c:v>
                </c:pt>
                <c:pt idx="521">
                  <c:v>45272</c:v>
                </c:pt>
                <c:pt idx="522">
                  <c:v>45273</c:v>
                </c:pt>
                <c:pt idx="523">
                  <c:v>45274</c:v>
                </c:pt>
                <c:pt idx="524">
                  <c:v>45275</c:v>
                </c:pt>
                <c:pt idx="525">
                  <c:v>45278</c:v>
                </c:pt>
                <c:pt idx="526">
                  <c:v>45279</c:v>
                </c:pt>
                <c:pt idx="527">
                  <c:v>45280</c:v>
                </c:pt>
                <c:pt idx="528">
                  <c:v>45281</c:v>
                </c:pt>
                <c:pt idx="529">
                  <c:v>45282</c:v>
                </c:pt>
                <c:pt idx="530">
                  <c:v>45285</c:v>
                </c:pt>
                <c:pt idx="531">
                  <c:v>45286</c:v>
                </c:pt>
                <c:pt idx="532">
                  <c:v>45287</c:v>
                </c:pt>
                <c:pt idx="533">
                  <c:v>45288</c:v>
                </c:pt>
                <c:pt idx="534">
                  <c:v>45289</c:v>
                </c:pt>
                <c:pt idx="535">
                  <c:v>45292</c:v>
                </c:pt>
                <c:pt idx="536">
                  <c:v>45293</c:v>
                </c:pt>
                <c:pt idx="537">
                  <c:v>45294</c:v>
                </c:pt>
                <c:pt idx="538">
                  <c:v>45295</c:v>
                </c:pt>
                <c:pt idx="539">
                  <c:v>45296</c:v>
                </c:pt>
                <c:pt idx="540">
                  <c:v>45299</c:v>
                </c:pt>
                <c:pt idx="541">
                  <c:v>45300</c:v>
                </c:pt>
                <c:pt idx="542">
                  <c:v>45301</c:v>
                </c:pt>
                <c:pt idx="543">
                  <c:v>45302</c:v>
                </c:pt>
                <c:pt idx="544">
                  <c:v>45303</c:v>
                </c:pt>
                <c:pt idx="545">
                  <c:v>45306</c:v>
                </c:pt>
                <c:pt idx="546">
                  <c:v>45307</c:v>
                </c:pt>
                <c:pt idx="547">
                  <c:v>45308</c:v>
                </c:pt>
                <c:pt idx="548">
                  <c:v>45309</c:v>
                </c:pt>
                <c:pt idx="549">
                  <c:v>45310</c:v>
                </c:pt>
                <c:pt idx="550">
                  <c:v>45313</c:v>
                </c:pt>
                <c:pt idx="551">
                  <c:v>45314</c:v>
                </c:pt>
                <c:pt idx="552">
                  <c:v>45315</c:v>
                </c:pt>
                <c:pt idx="553">
                  <c:v>45316</c:v>
                </c:pt>
                <c:pt idx="554">
                  <c:v>45317</c:v>
                </c:pt>
                <c:pt idx="555">
                  <c:v>45320</c:v>
                </c:pt>
                <c:pt idx="556">
                  <c:v>45321</c:v>
                </c:pt>
                <c:pt idx="557">
                  <c:v>45322</c:v>
                </c:pt>
                <c:pt idx="558">
                  <c:v>45323</c:v>
                </c:pt>
                <c:pt idx="559">
                  <c:v>45324</c:v>
                </c:pt>
                <c:pt idx="560">
                  <c:v>45327</c:v>
                </c:pt>
                <c:pt idx="561">
                  <c:v>45328</c:v>
                </c:pt>
                <c:pt idx="562">
                  <c:v>45329</c:v>
                </c:pt>
                <c:pt idx="563">
                  <c:v>45330</c:v>
                </c:pt>
                <c:pt idx="564">
                  <c:v>45331</c:v>
                </c:pt>
                <c:pt idx="565">
                  <c:v>45334</c:v>
                </c:pt>
                <c:pt idx="566">
                  <c:v>45335</c:v>
                </c:pt>
                <c:pt idx="567">
                  <c:v>45336</c:v>
                </c:pt>
                <c:pt idx="568">
                  <c:v>45337</c:v>
                </c:pt>
                <c:pt idx="569">
                  <c:v>45338</c:v>
                </c:pt>
                <c:pt idx="570">
                  <c:v>45341</c:v>
                </c:pt>
                <c:pt idx="571">
                  <c:v>45342</c:v>
                </c:pt>
                <c:pt idx="572">
                  <c:v>45343</c:v>
                </c:pt>
                <c:pt idx="573">
                  <c:v>45344</c:v>
                </c:pt>
                <c:pt idx="574">
                  <c:v>45345</c:v>
                </c:pt>
                <c:pt idx="575">
                  <c:v>45348</c:v>
                </c:pt>
                <c:pt idx="576">
                  <c:v>45349</c:v>
                </c:pt>
                <c:pt idx="577">
                  <c:v>45350</c:v>
                </c:pt>
                <c:pt idx="578">
                  <c:v>45351</c:v>
                </c:pt>
                <c:pt idx="579">
                  <c:v>45352</c:v>
                </c:pt>
                <c:pt idx="580">
                  <c:v>45355</c:v>
                </c:pt>
                <c:pt idx="581">
                  <c:v>45356</c:v>
                </c:pt>
                <c:pt idx="582">
                  <c:v>45357</c:v>
                </c:pt>
                <c:pt idx="583">
                  <c:v>45358</c:v>
                </c:pt>
                <c:pt idx="584">
                  <c:v>45359</c:v>
                </c:pt>
                <c:pt idx="585">
                  <c:v>45362</c:v>
                </c:pt>
                <c:pt idx="586">
                  <c:v>45363</c:v>
                </c:pt>
                <c:pt idx="587">
                  <c:v>45364</c:v>
                </c:pt>
                <c:pt idx="588">
                  <c:v>45365</c:v>
                </c:pt>
                <c:pt idx="589">
                  <c:v>45366</c:v>
                </c:pt>
                <c:pt idx="590">
                  <c:v>45369</c:v>
                </c:pt>
                <c:pt idx="591">
                  <c:v>45370</c:v>
                </c:pt>
                <c:pt idx="592">
                  <c:v>45371</c:v>
                </c:pt>
                <c:pt idx="593">
                  <c:v>45372</c:v>
                </c:pt>
                <c:pt idx="594">
                  <c:v>45373</c:v>
                </c:pt>
                <c:pt idx="595">
                  <c:v>45376</c:v>
                </c:pt>
                <c:pt idx="596">
                  <c:v>45377</c:v>
                </c:pt>
                <c:pt idx="597">
                  <c:v>45378</c:v>
                </c:pt>
                <c:pt idx="598">
                  <c:v>45379</c:v>
                </c:pt>
                <c:pt idx="599">
                  <c:v>45380</c:v>
                </c:pt>
                <c:pt idx="600">
                  <c:v>45383</c:v>
                </c:pt>
                <c:pt idx="601">
                  <c:v>45384</c:v>
                </c:pt>
                <c:pt idx="602">
                  <c:v>45385</c:v>
                </c:pt>
                <c:pt idx="603">
                  <c:v>45386</c:v>
                </c:pt>
                <c:pt idx="604">
                  <c:v>45387</c:v>
                </c:pt>
                <c:pt idx="605">
                  <c:v>45390</c:v>
                </c:pt>
                <c:pt idx="606">
                  <c:v>45391</c:v>
                </c:pt>
                <c:pt idx="607">
                  <c:v>45392</c:v>
                </c:pt>
                <c:pt idx="608">
                  <c:v>45393</c:v>
                </c:pt>
                <c:pt idx="609">
                  <c:v>45394</c:v>
                </c:pt>
                <c:pt idx="610">
                  <c:v>45397</c:v>
                </c:pt>
                <c:pt idx="611">
                  <c:v>45398</c:v>
                </c:pt>
                <c:pt idx="612">
                  <c:v>45399</c:v>
                </c:pt>
                <c:pt idx="613">
                  <c:v>45400</c:v>
                </c:pt>
                <c:pt idx="614">
                  <c:v>45401</c:v>
                </c:pt>
                <c:pt idx="615">
                  <c:v>45404</c:v>
                </c:pt>
                <c:pt idx="616">
                  <c:v>45405</c:v>
                </c:pt>
                <c:pt idx="617">
                  <c:v>45406</c:v>
                </c:pt>
                <c:pt idx="618">
                  <c:v>45407</c:v>
                </c:pt>
                <c:pt idx="619">
                  <c:v>45408</c:v>
                </c:pt>
                <c:pt idx="620">
                  <c:v>45411</c:v>
                </c:pt>
                <c:pt idx="621">
                  <c:v>45412</c:v>
                </c:pt>
                <c:pt idx="622">
                  <c:v>45413</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45432</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45460</c:v>
                </c:pt>
                <c:pt idx="656">
                  <c:v>45461</c:v>
                </c:pt>
                <c:pt idx="657">
                  <c:v>45462</c:v>
                </c:pt>
                <c:pt idx="658">
                  <c:v>45463</c:v>
                </c:pt>
                <c:pt idx="659">
                  <c:v>45464</c:v>
                </c:pt>
                <c:pt idx="660">
                  <c:v>45467</c:v>
                </c:pt>
                <c:pt idx="661">
                  <c:v>45468</c:v>
                </c:pt>
                <c:pt idx="662">
                  <c:v>45469</c:v>
                </c:pt>
                <c:pt idx="663">
                  <c:v>45470</c:v>
                </c:pt>
                <c:pt idx="664">
                  <c:v>45471</c:v>
                </c:pt>
                <c:pt idx="665">
                  <c:v>45474</c:v>
                </c:pt>
                <c:pt idx="666">
                  <c:v>45475</c:v>
                </c:pt>
                <c:pt idx="667">
                  <c:v>45476</c:v>
                </c:pt>
                <c:pt idx="668">
                  <c:v>45477</c:v>
                </c:pt>
                <c:pt idx="669">
                  <c:v>45478</c:v>
                </c:pt>
                <c:pt idx="670">
                  <c:v>45481</c:v>
                </c:pt>
                <c:pt idx="671">
                  <c:v>45482</c:v>
                </c:pt>
                <c:pt idx="672">
                  <c:v>45483</c:v>
                </c:pt>
                <c:pt idx="673">
                  <c:v>45484</c:v>
                </c:pt>
                <c:pt idx="674">
                  <c:v>45485</c:v>
                </c:pt>
                <c:pt idx="675">
                  <c:v>45488</c:v>
                </c:pt>
                <c:pt idx="676">
                  <c:v>45489</c:v>
                </c:pt>
                <c:pt idx="677">
                  <c:v>45490</c:v>
                </c:pt>
                <c:pt idx="678">
                  <c:v>45491</c:v>
                </c:pt>
                <c:pt idx="679">
                  <c:v>45492</c:v>
                </c:pt>
                <c:pt idx="680">
                  <c:v>45495</c:v>
                </c:pt>
                <c:pt idx="681">
                  <c:v>45496</c:v>
                </c:pt>
                <c:pt idx="682">
                  <c:v>45497</c:v>
                </c:pt>
                <c:pt idx="683">
                  <c:v>45498</c:v>
                </c:pt>
                <c:pt idx="684">
                  <c:v>45499</c:v>
                </c:pt>
                <c:pt idx="685">
                  <c:v>45502</c:v>
                </c:pt>
                <c:pt idx="686">
                  <c:v>45503</c:v>
                </c:pt>
                <c:pt idx="687">
                  <c:v>45504</c:v>
                </c:pt>
                <c:pt idx="688">
                  <c:v>45505</c:v>
                </c:pt>
                <c:pt idx="689">
                  <c:v>45506</c:v>
                </c:pt>
                <c:pt idx="690">
                  <c:v>45509</c:v>
                </c:pt>
                <c:pt idx="691">
                  <c:v>45510</c:v>
                </c:pt>
                <c:pt idx="692">
                  <c:v>45511</c:v>
                </c:pt>
                <c:pt idx="693">
                  <c:v>45512</c:v>
                </c:pt>
                <c:pt idx="694">
                  <c:v>45513</c:v>
                </c:pt>
                <c:pt idx="695">
                  <c:v>45516</c:v>
                </c:pt>
                <c:pt idx="696">
                  <c:v>45517</c:v>
                </c:pt>
                <c:pt idx="697">
                  <c:v>45518</c:v>
                </c:pt>
                <c:pt idx="698">
                  <c:v>45519</c:v>
                </c:pt>
                <c:pt idx="699">
                  <c:v>45520</c:v>
                </c:pt>
                <c:pt idx="700">
                  <c:v>45523</c:v>
                </c:pt>
                <c:pt idx="701">
                  <c:v>45524</c:v>
                </c:pt>
                <c:pt idx="702">
                  <c:v>45525</c:v>
                </c:pt>
                <c:pt idx="703">
                  <c:v>45526</c:v>
                </c:pt>
                <c:pt idx="704">
                  <c:v>45527</c:v>
                </c:pt>
                <c:pt idx="705">
                  <c:v>45530</c:v>
                </c:pt>
                <c:pt idx="706">
                  <c:v>45531</c:v>
                </c:pt>
                <c:pt idx="707">
                  <c:v>45532</c:v>
                </c:pt>
                <c:pt idx="708">
                  <c:v>45533</c:v>
                </c:pt>
                <c:pt idx="709">
                  <c:v>45534</c:v>
                </c:pt>
                <c:pt idx="710">
                  <c:v>45537</c:v>
                </c:pt>
                <c:pt idx="711">
                  <c:v>45538</c:v>
                </c:pt>
                <c:pt idx="712">
                  <c:v>45539</c:v>
                </c:pt>
                <c:pt idx="713">
                  <c:v>45540</c:v>
                </c:pt>
                <c:pt idx="714">
                  <c:v>45541</c:v>
                </c:pt>
                <c:pt idx="715">
                  <c:v>45544</c:v>
                </c:pt>
                <c:pt idx="716">
                  <c:v>45545</c:v>
                </c:pt>
                <c:pt idx="717">
                  <c:v>45546</c:v>
                </c:pt>
                <c:pt idx="718">
                  <c:v>45547</c:v>
                </c:pt>
                <c:pt idx="719">
                  <c:v>45548</c:v>
                </c:pt>
                <c:pt idx="720">
                  <c:v>45551</c:v>
                </c:pt>
                <c:pt idx="721">
                  <c:v>45552</c:v>
                </c:pt>
                <c:pt idx="722">
                  <c:v>45553</c:v>
                </c:pt>
                <c:pt idx="723">
                  <c:v>45554</c:v>
                </c:pt>
                <c:pt idx="724">
                  <c:v>45555</c:v>
                </c:pt>
                <c:pt idx="725">
                  <c:v>45558</c:v>
                </c:pt>
                <c:pt idx="726">
                  <c:v>45559</c:v>
                </c:pt>
                <c:pt idx="727">
                  <c:v>45560</c:v>
                </c:pt>
                <c:pt idx="728">
                  <c:v>45561</c:v>
                </c:pt>
                <c:pt idx="729">
                  <c:v>45562</c:v>
                </c:pt>
                <c:pt idx="730">
                  <c:v>45565</c:v>
                </c:pt>
                <c:pt idx="731">
                  <c:v>45566</c:v>
                </c:pt>
                <c:pt idx="732">
                  <c:v>45567</c:v>
                </c:pt>
                <c:pt idx="733">
                  <c:v>45568</c:v>
                </c:pt>
                <c:pt idx="734">
                  <c:v>45569</c:v>
                </c:pt>
                <c:pt idx="735">
                  <c:v>45572</c:v>
                </c:pt>
                <c:pt idx="736">
                  <c:v>45573</c:v>
                </c:pt>
                <c:pt idx="737">
                  <c:v>45574</c:v>
                </c:pt>
                <c:pt idx="738">
                  <c:v>45575</c:v>
                </c:pt>
                <c:pt idx="739">
                  <c:v>45576</c:v>
                </c:pt>
                <c:pt idx="740">
                  <c:v>45579</c:v>
                </c:pt>
                <c:pt idx="741">
                  <c:v>45580</c:v>
                </c:pt>
                <c:pt idx="742">
                  <c:v>45581</c:v>
                </c:pt>
                <c:pt idx="743">
                  <c:v>45582</c:v>
                </c:pt>
                <c:pt idx="744">
                  <c:v>45583</c:v>
                </c:pt>
                <c:pt idx="745">
                  <c:v>45586</c:v>
                </c:pt>
                <c:pt idx="746">
                  <c:v>45587</c:v>
                </c:pt>
                <c:pt idx="747">
                  <c:v>45588</c:v>
                </c:pt>
                <c:pt idx="748">
                  <c:v>45589</c:v>
                </c:pt>
                <c:pt idx="749">
                  <c:v>45590</c:v>
                </c:pt>
                <c:pt idx="750">
                  <c:v>45593</c:v>
                </c:pt>
                <c:pt idx="751">
                  <c:v>45594</c:v>
                </c:pt>
                <c:pt idx="752">
                  <c:v>45595</c:v>
                </c:pt>
                <c:pt idx="753">
                  <c:v>45596</c:v>
                </c:pt>
                <c:pt idx="754">
                  <c:v>45597</c:v>
                </c:pt>
                <c:pt idx="755">
                  <c:v>45600</c:v>
                </c:pt>
                <c:pt idx="756">
                  <c:v>45601</c:v>
                </c:pt>
                <c:pt idx="757">
                  <c:v>45602</c:v>
                </c:pt>
                <c:pt idx="758">
                  <c:v>45603</c:v>
                </c:pt>
                <c:pt idx="759">
                  <c:v>45604</c:v>
                </c:pt>
                <c:pt idx="760">
                  <c:v>45607</c:v>
                </c:pt>
                <c:pt idx="761">
                  <c:v>45608</c:v>
                </c:pt>
                <c:pt idx="762">
                  <c:v>45609</c:v>
                </c:pt>
                <c:pt idx="763">
                  <c:v>45610</c:v>
                </c:pt>
                <c:pt idx="764">
                  <c:v>45611</c:v>
                </c:pt>
                <c:pt idx="765">
                  <c:v>45614</c:v>
                </c:pt>
                <c:pt idx="766">
                  <c:v>45615</c:v>
                </c:pt>
                <c:pt idx="767">
                  <c:v>45616</c:v>
                </c:pt>
                <c:pt idx="768">
                  <c:v>45617</c:v>
                </c:pt>
                <c:pt idx="769">
                  <c:v>45618</c:v>
                </c:pt>
                <c:pt idx="770">
                  <c:v>45621</c:v>
                </c:pt>
                <c:pt idx="771">
                  <c:v>45622</c:v>
                </c:pt>
                <c:pt idx="772">
                  <c:v>45623</c:v>
                </c:pt>
                <c:pt idx="773">
                  <c:v>45624</c:v>
                </c:pt>
                <c:pt idx="774">
                  <c:v>45625</c:v>
                </c:pt>
                <c:pt idx="775">
                  <c:v>45628</c:v>
                </c:pt>
                <c:pt idx="776">
                  <c:v>45629</c:v>
                </c:pt>
                <c:pt idx="777">
                  <c:v>45630</c:v>
                </c:pt>
                <c:pt idx="778">
                  <c:v>45631</c:v>
                </c:pt>
                <c:pt idx="779">
                  <c:v>45632</c:v>
                </c:pt>
                <c:pt idx="780">
                  <c:v>45635</c:v>
                </c:pt>
                <c:pt idx="781">
                  <c:v>45636</c:v>
                </c:pt>
                <c:pt idx="782">
                  <c:v>45637</c:v>
                </c:pt>
                <c:pt idx="783">
                  <c:v>45638</c:v>
                </c:pt>
                <c:pt idx="784">
                  <c:v>45639</c:v>
                </c:pt>
                <c:pt idx="785">
                  <c:v>45642</c:v>
                </c:pt>
                <c:pt idx="786">
                  <c:v>45643</c:v>
                </c:pt>
                <c:pt idx="787">
                  <c:v>45644</c:v>
                </c:pt>
                <c:pt idx="788">
                  <c:v>45645</c:v>
                </c:pt>
                <c:pt idx="789">
                  <c:v>45646</c:v>
                </c:pt>
                <c:pt idx="790">
                  <c:v>45649</c:v>
                </c:pt>
                <c:pt idx="791">
                  <c:v>45650</c:v>
                </c:pt>
                <c:pt idx="792">
                  <c:v>45651</c:v>
                </c:pt>
                <c:pt idx="793">
                  <c:v>45652</c:v>
                </c:pt>
                <c:pt idx="794">
                  <c:v>45653</c:v>
                </c:pt>
                <c:pt idx="795">
                  <c:v>45656</c:v>
                </c:pt>
                <c:pt idx="796">
                  <c:v>45657</c:v>
                </c:pt>
                <c:pt idx="797">
                  <c:v>45658</c:v>
                </c:pt>
                <c:pt idx="798">
                  <c:v>45659</c:v>
                </c:pt>
                <c:pt idx="799">
                  <c:v>45660</c:v>
                </c:pt>
                <c:pt idx="800">
                  <c:v>45663</c:v>
                </c:pt>
                <c:pt idx="801">
                  <c:v>45664</c:v>
                </c:pt>
                <c:pt idx="802">
                  <c:v>45665</c:v>
                </c:pt>
                <c:pt idx="803">
                  <c:v>45666</c:v>
                </c:pt>
                <c:pt idx="804">
                  <c:v>45667</c:v>
                </c:pt>
                <c:pt idx="805">
                  <c:v>45670</c:v>
                </c:pt>
                <c:pt idx="806">
                  <c:v>45671</c:v>
                </c:pt>
                <c:pt idx="807">
                  <c:v>45672</c:v>
                </c:pt>
                <c:pt idx="808">
                  <c:v>45673</c:v>
                </c:pt>
                <c:pt idx="809">
                  <c:v>45674</c:v>
                </c:pt>
                <c:pt idx="810">
                  <c:v>45677</c:v>
                </c:pt>
                <c:pt idx="811">
                  <c:v>45678</c:v>
                </c:pt>
                <c:pt idx="812">
                  <c:v>45679</c:v>
                </c:pt>
                <c:pt idx="813">
                  <c:v>45680</c:v>
                </c:pt>
                <c:pt idx="814">
                  <c:v>45681</c:v>
                </c:pt>
                <c:pt idx="815">
                  <c:v>45684</c:v>
                </c:pt>
                <c:pt idx="816">
                  <c:v>45685</c:v>
                </c:pt>
                <c:pt idx="817">
                  <c:v>45686</c:v>
                </c:pt>
                <c:pt idx="818">
                  <c:v>45687</c:v>
                </c:pt>
                <c:pt idx="819">
                  <c:v>45688</c:v>
                </c:pt>
                <c:pt idx="820">
                  <c:v>45691</c:v>
                </c:pt>
                <c:pt idx="821">
                  <c:v>45692</c:v>
                </c:pt>
                <c:pt idx="822">
                  <c:v>45693</c:v>
                </c:pt>
                <c:pt idx="823">
                  <c:v>45694</c:v>
                </c:pt>
                <c:pt idx="824">
                  <c:v>45695</c:v>
                </c:pt>
                <c:pt idx="825">
                  <c:v>45698</c:v>
                </c:pt>
                <c:pt idx="826">
                  <c:v>45699</c:v>
                </c:pt>
                <c:pt idx="827">
                  <c:v>45700</c:v>
                </c:pt>
                <c:pt idx="828">
                  <c:v>45701</c:v>
                </c:pt>
                <c:pt idx="829">
                  <c:v>45702</c:v>
                </c:pt>
                <c:pt idx="830">
                  <c:v>45705</c:v>
                </c:pt>
                <c:pt idx="831">
                  <c:v>45706</c:v>
                </c:pt>
                <c:pt idx="832">
                  <c:v>45707</c:v>
                </c:pt>
                <c:pt idx="833">
                  <c:v>45708</c:v>
                </c:pt>
                <c:pt idx="834">
                  <c:v>45709</c:v>
                </c:pt>
                <c:pt idx="835">
                  <c:v>45712</c:v>
                </c:pt>
                <c:pt idx="836">
                  <c:v>45713</c:v>
                </c:pt>
                <c:pt idx="837">
                  <c:v>45714</c:v>
                </c:pt>
                <c:pt idx="838">
                  <c:v>45715</c:v>
                </c:pt>
                <c:pt idx="839">
                  <c:v>45716</c:v>
                </c:pt>
                <c:pt idx="840">
                  <c:v>45719</c:v>
                </c:pt>
                <c:pt idx="841">
                  <c:v>45720</c:v>
                </c:pt>
                <c:pt idx="842">
                  <c:v>45721</c:v>
                </c:pt>
                <c:pt idx="843">
                  <c:v>45722</c:v>
                </c:pt>
                <c:pt idx="844">
                  <c:v>45723</c:v>
                </c:pt>
                <c:pt idx="845">
                  <c:v>45726</c:v>
                </c:pt>
                <c:pt idx="846">
                  <c:v>45727</c:v>
                </c:pt>
                <c:pt idx="847">
                  <c:v>45728</c:v>
                </c:pt>
                <c:pt idx="848">
                  <c:v>45729</c:v>
                </c:pt>
                <c:pt idx="849">
                  <c:v>45730</c:v>
                </c:pt>
                <c:pt idx="850">
                  <c:v>45733</c:v>
                </c:pt>
                <c:pt idx="851">
                  <c:v>45734</c:v>
                </c:pt>
                <c:pt idx="852">
                  <c:v>45735</c:v>
                </c:pt>
                <c:pt idx="853">
                  <c:v>45736</c:v>
                </c:pt>
                <c:pt idx="854">
                  <c:v>45737</c:v>
                </c:pt>
                <c:pt idx="855">
                  <c:v>45740</c:v>
                </c:pt>
                <c:pt idx="856">
                  <c:v>45741</c:v>
                </c:pt>
                <c:pt idx="857">
                  <c:v>45742</c:v>
                </c:pt>
                <c:pt idx="858">
                  <c:v>45743</c:v>
                </c:pt>
                <c:pt idx="859">
                  <c:v>45744</c:v>
                </c:pt>
                <c:pt idx="860">
                  <c:v>45747</c:v>
                </c:pt>
                <c:pt idx="861">
                  <c:v>45748</c:v>
                </c:pt>
                <c:pt idx="862">
                  <c:v>45749</c:v>
                </c:pt>
                <c:pt idx="863">
                  <c:v>45750</c:v>
                </c:pt>
                <c:pt idx="864">
                  <c:v>45751</c:v>
                </c:pt>
                <c:pt idx="865">
                  <c:v>45754</c:v>
                </c:pt>
                <c:pt idx="866">
                  <c:v>45755</c:v>
                </c:pt>
                <c:pt idx="867">
                  <c:v>45756</c:v>
                </c:pt>
                <c:pt idx="868">
                  <c:v>45757</c:v>
                </c:pt>
                <c:pt idx="869">
                  <c:v>45758</c:v>
                </c:pt>
                <c:pt idx="870">
                  <c:v>45761</c:v>
                </c:pt>
                <c:pt idx="871">
                  <c:v>45762</c:v>
                </c:pt>
                <c:pt idx="872">
                  <c:v>45763</c:v>
                </c:pt>
                <c:pt idx="873">
                  <c:v>45764</c:v>
                </c:pt>
                <c:pt idx="874">
                  <c:v>45765</c:v>
                </c:pt>
                <c:pt idx="875">
                  <c:v>45768</c:v>
                </c:pt>
                <c:pt idx="876">
                  <c:v>45769</c:v>
                </c:pt>
                <c:pt idx="877">
                  <c:v>45770</c:v>
                </c:pt>
                <c:pt idx="878">
                  <c:v>45771</c:v>
                </c:pt>
                <c:pt idx="879">
                  <c:v>45772</c:v>
                </c:pt>
                <c:pt idx="880">
                  <c:v>45775</c:v>
                </c:pt>
                <c:pt idx="881">
                  <c:v>45776</c:v>
                </c:pt>
                <c:pt idx="882">
                  <c:v>45777</c:v>
                </c:pt>
                <c:pt idx="883">
                  <c:v>45778</c:v>
                </c:pt>
                <c:pt idx="884">
                  <c:v>45779</c:v>
                </c:pt>
                <c:pt idx="885">
                  <c:v>45782</c:v>
                </c:pt>
                <c:pt idx="886">
                  <c:v>45783</c:v>
                </c:pt>
                <c:pt idx="887">
                  <c:v>45784</c:v>
                </c:pt>
                <c:pt idx="888">
                  <c:v>45785</c:v>
                </c:pt>
                <c:pt idx="889">
                  <c:v>45786</c:v>
                </c:pt>
                <c:pt idx="890">
                  <c:v>45789</c:v>
                </c:pt>
                <c:pt idx="891">
                  <c:v>45790</c:v>
                </c:pt>
                <c:pt idx="892">
                  <c:v>45791</c:v>
                </c:pt>
                <c:pt idx="893">
                  <c:v>45792</c:v>
                </c:pt>
                <c:pt idx="894">
                  <c:v>45793</c:v>
                </c:pt>
                <c:pt idx="895">
                  <c:v>45796</c:v>
                </c:pt>
                <c:pt idx="896">
                  <c:v>45797</c:v>
                </c:pt>
                <c:pt idx="897">
                  <c:v>45798</c:v>
                </c:pt>
                <c:pt idx="898">
                  <c:v>45799</c:v>
                </c:pt>
                <c:pt idx="899">
                  <c:v>45800</c:v>
                </c:pt>
                <c:pt idx="900">
                  <c:v>45803</c:v>
                </c:pt>
                <c:pt idx="901">
                  <c:v>45804</c:v>
                </c:pt>
                <c:pt idx="902">
                  <c:v>45805</c:v>
                </c:pt>
                <c:pt idx="903">
                  <c:v>45806</c:v>
                </c:pt>
                <c:pt idx="904">
                  <c:v>45807</c:v>
                </c:pt>
                <c:pt idx="905">
                  <c:v>45810</c:v>
                </c:pt>
                <c:pt idx="906">
                  <c:v>45811</c:v>
                </c:pt>
                <c:pt idx="907">
                  <c:v>45812</c:v>
                </c:pt>
                <c:pt idx="908">
                  <c:v>45813</c:v>
                </c:pt>
                <c:pt idx="909">
                  <c:v>45814</c:v>
                </c:pt>
                <c:pt idx="910">
                  <c:v>45817</c:v>
                </c:pt>
                <c:pt idx="911">
                  <c:v>45818</c:v>
                </c:pt>
                <c:pt idx="912">
                  <c:v>45819</c:v>
                </c:pt>
                <c:pt idx="913">
                  <c:v>45820</c:v>
                </c:pt>
                <c:pt idx="914">
                  <c:v>45821</c:v>
                </c:pt>
                <c:pt idx="915">
                  <c:v>45824</c:v>
                </c:pt>
                <c:pt idx="916">
                  <c:v>45825</c:v>
                </c:pt>
                <c:pt idx="917">
                  <c:v>45826</c:v>
                </c:pt>
                <c:pt idx="918">
                  <c:v>45827</c:v>
                </c:pt>
                <c:pt idx="919">
                  <c:v>45828</c:v>
                </c:pt>
                <c:pt idx="920">
                  <c:v>45831</c:v>
                </c:pt>
                <c:pt idx="921">
                  <c:v>45832</c:v>
                </c:pt>
                <c:pt idx="922">
                  <c:v>45833</c:v>
                </c:pt>
                <c:pt idx="923">
                  <c:v>45834</c:v>
                </c:pt>
                <c:pt idx="924">
                  <c:v>45835</c:v>
                </c:pt>
                <c:pt idx="925">
                  <c:v>45838</c:v>
                </c:pt>
                <c:pt idx="926">
                  <c:v>45839</c:v>
                </c:pt>
                <c:pt idx="927">
                  <c:v>45840</c:v>
                </c:pt>
                <c:pt idx="928">
                  <c:v>45841</c:v>
                </c:pt>
                <c:pt idx="929">
                  <c:v>45842</c:v>
                </c:pt>
                <c:pt idx="930">
                  <c:v>45845</c:v>
                </c:pt>
                <c:pt idx="931">
                  <c:v>45846</c:v>
                </c:pt>
                <c:pt idx="932">
                  <c:v>45847</c:v>
                </c:pt>
                <c:pt idx="933">
                  <c:v>45848</c:v>
                </c:pt>
                <c:pt idx="934">
                  <c:v>45849</c:v>
                </c:pt>
                <c:pt idx="935">
                  <c:v>45852</c:v>
                </c:pt>
                <c:pt idx="936">
                  <c:v>45853</c:v>
                </c:pt>
                <c:pt idx="937">
                  <c:v>45854</c:v>
                </c:pt>
                <c:pt idx="938">
                  <c:v>45855</c:v>
                </c:pt>
                <c:pt idx="939">
                  <c:v>45856</c:v>
                </c:pt>
                <c:pt idx="940">
                  <c:v>45859</c:v>
                </c:pt>
                <c:pt idx="941">
                  <c:v>45860</c:v>
                </c:pt>
                <c:pt idx="942">
                  <c:v>45861</c:v>
                </c:pt>
                <c:pt idx="943">
                  <c:v>45862</c:v>
                </c:pt>
                <c:pt idx="944">
                  <c:v>45863</c:v>
                </c:pt>
                <c:pt idx="945">
                  <c:v>45866</c:v>
                </c:pt>
                <c:pt idx="946">
                  <c:v>45867</c:v>
                </c:pt>
                <c:pt idx="947">
                  <c:v>45868</c:v>
                </c:pt>
                <c:pt idx="948">
                  <c:v>45869</c:v>
                </c:pt>
                <c:pt idx="949">
                  <c:v>45870</c:v>
                </c:pt>
                <c:pt idx="950">
                  <c:v>45873</c:v>
                </c:pt>
                <c:pt idx="951">
                  <c:v>45874</c:v>
                </c:pt>
                <c:pt idx="952">
                  <c:v>45875</c:v>
                </c:pt>
                <c:pt idx="953">
                  <c:v>45876</c:v>
                </c:pt>
                <c:pt idx="954">
                  <c:v>45877</c:v>
                </c:pt>
                <c:pt idx="955">
                  <c:v>45880</c:v>
                </c:pt>
                <c:pt idx="956">
                  <c:v>45881</c:v>
                </c:pt>
                <c:pt idx="957">
                  <c:v>45882</c:v>
                </c:pt>
                <c:pt idx="958">
                  <c:v>45883</c:v>
                </c:pt>
                <c:pt idx="959">
                  <c:v>45884</c:v>
                </c:pt>
                <c:pt idx="960">
                  <c:v>45887</c:v>
                </c:pt>
                <c:pt idx="961">
                  <c:v>45888</c:v>
                </c:pt>
                <c:pt idx="962">
                  <c:v>45889</c:v>
                </c:pt>
                <c:pt idx="963">
                  <c:v>45890</c:v>
                </c:pt>
                <c:pt idx="964">
                  <c:v>45891</c:v>
                </c:pt>
                <c:pt idx="965">
                  <c:v>45894</c:v>
                </c:pt>
                <c:pt idx="966">
                  <c:v>45895</c:v>
                </c:pt>
                <c:pt idx="967">
                  <c:v>45896</c:v>
                </c:pt>
                <c:pt idx="968">
                  <c:v>45897</c:v>
                </c:pt>
                <c:pt idx="969">
                  <c:v>45898</c:v>
                </c:pt>
                <c:pt idx="970">
                  <c:v>45901</c:v>
                </c:pt>
                <c:pt idx="971">
                  <c:v>45902</c:v>
                </c:pt>
                <c:pt idx="972">
                  <c:v>45903</c:v>
                </c:pt>
                <c:pt idx="973">
                  <c:v>45904</c:v>
                </c:pt>
                <c:pt idx="974">
                  <c:v>45905</c:v>
                </c:pt>
                <c:pt idx="975">
                  <c:v>45908</c:v>
                </c:pt>
                <c:pt idx="976">
                  <c:v>45909</c:v>
                </c:pt>
                <c:pt idx="977">
                  <c:v>45910</c:v>
                </c:pt>
                <c:pt idx="978">
                  <c:v>45911</c:v>
                </c:pt>
                <c:pt idx="979">
                  <c:v>45912</c:v>
                </c:pt>
                <c:pt idx="980">
                  <c:v>45915</c:v>
                </c:pt>
                <c:pt idx="981">
                  <c:v>45916</c:v>
                </c:pt>
                <c:pt idx="982">
                  <c:v>45917</c:v>
                </c:pt>
                <c:pt idx="983">
                  <c:v>45918</c:v>
                </c:pt>
                <c:pt idx="984">
                  <c:v>45919</c:v>
                </c:pt>
                <c:pt idx="985">
                  <c:v>45922</c:v>
                </c:pt>
                <c:pt idx="986">
                  <c:v>45923</c:v>
                </c:pt>
                <c:pt idx="987">
                  <c:v>45924</c:v>
                </c:pt>
                <c:pt idx="988">
                  <c:v>45925</c:v>
                </c:pt>
                <c:pt idx="989">
                  <c:v>45926</c:v>
                </c:pt>
                <c:pt idx="990">
                  <c:v>45929</c:v>
                </c:pt>
                <c:pt idx="991">
                  <c:v>45930</c:v>
                </c:pt>
                <c:pt idx="992">
                  <c:v>45931</c:v>
                </c:pt>
                <c:pt idx="993">
                  <c:v>45932</c:v>
                </c:pt>
                <c:pt idx="994">
                  <c:v>45933</c:v>
                </c:pt>
                <c:pt idx="995">
                  <c:v>45936</c:v>
                </c:pt>
                <c:pt idx="996">
                  <c:v>45937</c:v>
                </c:pt>
                <c:pt idx="997">
                  <c:v>45938</c:v>
                </c:pt>
                <c:pt idx="998">
                  <c:v>45939</c:v>
                </c:pt>
                <c:pt idx="999">
                  <c:v>45940</c:v>
                </c:pt>
                <c:pt idx="1000">
                  <c:v>45943</c:v>
                </c:pt>
                <c:pt idx="1001">
                  <c:v>45944</c:v>
                </c:pt>
                <c:pt idx="1002">
                  <c:v>45945</c:v>
                </c:pt>
                <c:pt idx="1003">
                  <c:v>45946</c:v>
                </c:pt>
                <c:pt idx="1004">
                  <c:v>45947</c:v>
                </c:pt>
                <c:pt idx="1005">
                  <c:v>45950</c:v>
                </c:pt>
                <c:pt idx="1006">
                  <c:v>45951</c:v>
                </c:pt>
                <c:pt idx="1007">
                  <c:v>45952</c:v>
                </c:pt>
                <c:pt idx="1008">
                  <c:v>45953</c:v>
                </c:pt>
                <c:pt idx="1009">
                  <c:v>45954</c:v>
                </c:pt>
                <c:pt idx="1010">
                  <c:v>45957</c:v>
                </c:pt>
                <c:pt idx="1011">
                  <c:v>45958</c:v>
                </c:pt>
                <c:pt idx="1012">
                  <c:v>45959</c:v>
                </c:pt>
                <c:pt idx="1013">
                  <c:v>45960</c:v>
                </c:pt>
                <c:pt idx="1014">
                  <c:v>45961</c:v>
                </c:pt>
                <c:pt idx="1015">
                  <c:v>45964</c:v>
                </c:pt>
                <c:pt idx="1016">
                  <c:v>45965</c:v>
                </c:pt>
                <c:pt idx="1017">
                  <c:v>45966</c:v>
                </c:pt>
                <c:pt idx="1018">
                  <c:v>45967</c:v>
                </c:pt>
                <c:pt idx="1019">
                  <c:v>45968</c:v>
                </c:pt>
                <c:pt idx="1020">
                  <c:v>45971</c:v>
                </c:pt>
                <c:pt idx="1021">
                  <c:v>45972</c:v>
                </c:pt>
                <c:pt idx="1022">
                  <c:v>45973</c:v>
                </c:pt>
                <c:pt idx="1023">
                  <c:v>45974</c:v>
                </c:pt>
                <c:pt idx="1024">
                  <c:v>45975</c:v>
                </c:pt>
                <c:pt idx="1025">
                  <c:v>45978</c:v>
                </c:pt>
                <c:pt idx="1026">
                  <c:v>45979</c:v>
                </c:pt>
                <c:pt idx="1027">
                  <c:v>45980</c:v>
                </c:pt>
                <c:pt idx="1028">
                  <c:v>45981</c:v>
                </c:pt>
                <c:pt idx="1029">
                  <c:v>45982</c:v>
                </c:pt>
                <c:pt idx="1030">
                  <c:v>45985</c:v>
                </c:pt>
                <c:pt idx="1031">
                  <c:v>45986</c:v>
                </c:pt>
                <c:pt idx="1032">
                  <c:v>45987</c:v>
                </c:pt>
                <c:pt idx="1033">
                  <c:v>45988</c:v>
                </c:pt>
                <c:pt idx="1034">
                  <c:v>45989</c:v>
                </c:pt>
                <c:pt idx="1035">
                  <c:v>45992</c:v>
                </c:pt>
                <c:pt idx="1036">
                  <c:v>45993</c:v>
                </c:pt>
                <c:pt idx="1037">
                  <c:v>45994</c:v>
                </c:pt>
                <c:pt idx="1038">
                  <c:v>45995</c:v>
                </c:pt>
                <c:pt idx="1039">
                  <c:v>45996</c:v>
                </c:pt>
                <c:pt idx="1040">
                  <c:v>45999</c:v>
                </c:pt>
                <c:pt idx="1041">
                  <c:v>46000</c:v>
                </c:pt>
                <c:pt idx="1042">
                  <c:v>46001</c:v>
                </c:pt>
                <c:pt idx="1043">
                  <c:v>46002</c:v>
                </c:pt>
                <c:pt idx="1044">
                  <c:v>46003</c:v>
                </c:pt>
                <c:pt idx="1045">
                  <c:v>46006</c:v>
                </c:pt>
                <c:pt idx="1046">
                  <c:v>46007</c:v>
                </c:pt>
                <c:pt idx="1047">
                  <c:v>46008</c:v>
                </c:pt>
                <c:pt idx="1048">
                  <c:v>46009</c:v>
                </c:pt>
                <c:pt idx="1049">
                  <c:v>46010</c:v>
                </c:pt>
                <c:pt idx="1050">
                  <c:v>46013</c:v>
                </c:pt>
                <c:pt idx="1051">
                  <c:v>46014</c:v>
                </c:pt>
                <c:pt idx="1052">
                  <c:v>46015</c:v>
                </c:pt>
                <c:pt idx="1053">
                  <c:v>46016</c:v>
                </c:pt>
                <c:pt idx="1054">
                  <c:v>46017</c:v>
                </c:pt>
                <c:pt idx="1055">
                  <c:v>46020</c:v>
                </c:pt>
                <c:pt idx="1056">
                  <c:v>46021</c:v>
                </c:pt>
                <c:pt idx="1057">
                  <c:v>46022</c:v>
                </c:pt>
                <c:pt idx="1058">
                  <c:v>46023</c:v>
                </c:pt>
                <c:pt idx="1059">
                  <c:v>46024</c:v>
                </c:pt>
                <c:pt idx="1060">
                  <c:v>46027</c:v>
                </c:pt>
                <c:pt idx="1061">
                  <c:v>46028</c:v>
                </c:pt>
                <c:pt idx="1062">
                  <c:v>46029</c:v>
                </c:pt>
                <c:pt idx="1063">
                  <c:v>46030</c:v>
                </c:pt>
                <c:pt idx="1064">
                  <c:v>46031</c:v>
                </c:pt>
                <c:pt idx="1065">
                  <c:v>46034</c:v>
                </c:pt>
                <c:pt idx="1066">
                  <c:v>46035</c:v>
                </c:pt>
                <c:pt idx="1067">
                  <c:v>46036</c:v>
                </c:pt>
                <c:pt idx="1068">
                  <c:v>46037</c:v>
                </c:pt>
                <c:pt idx="1069">
                  <c:v>46038</c:v>
                </c:pt>
                <c:pt idx="1070">
                  <c:v>46041</c:v>
                </c:pt>
                <c:pt idx="1071">
                  <c:v>46042</c:v>
                </c:pt>
                <c:pt idx="1072">
                  <c:v>46043</c:v>
                </c:pt>
                <c:pt idx="1073">
                  <c:v>46044</c:v>
                </c:pt>
                <c:pt idx="1074">
                  <c:v>46045</c:v>
                </c:pt>
                <c:pt idx="1075">
                  <c:v>46048</c:v>
                </c:pt>
                <c:pt idx="1076">
                  <c:v>46049</c:v>
                </c:pt>
                <c:pt idx="1077">
                  <c:v>46050</c:v>
                </c:pt>
                <c:pt idx="1078">
                  <c:v>46051</c:v>
                </c:pt>
                <c:pt idx="1079">
                  <c:v>46052</c:v>
                </c:pt>
                <c:pt idx="1080">
                  <c:v>46055</c:v>
                </c:pt>
                <c:pt idx="1081">
                  <c:v>46056</c:v>
                </c:pt>
                <c:pt idx="1082">
                  <c:v>46057</c:v>
                </c:pt>
                <c:pt idx="1083">
                  <c:v>46058</c:v>
                </c:pt>
                <c:pt idx="1084">
                  <c:v>46059</c:v>
                </c:pt>
                <c:pt idx="1085">
                  <c:v>46062</c:v>
                </c:pt>
                <c:pt idx="1086">
                  <c:v>46063</c:v>
                </c:pt>
                <c:pt idx="1087">
                  <c:v>46064</c:v>
                </c:pt>
                <c:pt idx="1088">
                  <c:v>46065</c:v>
                </c:pt>
                <c:pt idx="1089">
                  <c:v>46066</c:v>
                </c:pt>
                <c:pt idx="1090">
                  <c:v>46069</c:v>
                </c:pt>
                <c:pt idx="1091">
                  <c:v>46070</c:v>
                </c:pt>
                <c:pt idx="1092">
                  <c:v>46071</c:v>
                </c:pt>
                <c:pt idx="1093">
                  <c:v>46072</c:v>
                </c:pt>
                <c:pt idx="1094">
                  <c:v>46073</c:v>
                </c:pt>
                <c:pt idx="1095">
                  <c:v>46076</c:v>
                </c:pt>
                <c:pt idx="1096">
                  <c:v>46077</c:v>
                </c:pt>
                <c:pt idx="1097">
                  <c:v>46078</c:v>
                </c:pt>
                <c:pt idx="1098">
                  <c:v>46079</c:v>
                </c:pt>
                <c:pt idx="1099">
                  <c:v>46080</c:v>
                </c:pt>
              </c:numCache>
            </c:numRef>
          </c:cat>
          <c:val>
            <c:numRef>
              <c:f>'D2'!$B$2:$B$1101</c:f>
              <c:numCache>
                <c:formatCode>0.0%</c:formatCode>
                <c:ptCount val="1100"/>
                <c:pt idx="0">
                  <c:v>0</c:v>
                </c:pt>
                <c:pt idx="1">
                  <c:v>-2.8070175438599243E-5</c:v>
                </c:pt>
                <c:pt idx="2">
                  <c:v>-5.6140350877087464E-5</c:v>
                </c:pt>
                <c:pt idx="3">
                  <c:v>-8.4210526315686707E-5</c:v>
                </c:pt>
                <c:pt idx="4">
                  <c:v>-0.21179473684210537</c:v>
                </c:pt>
                <c:pt idx="5">
                  <c:v>-0.14659824561403523</c:v>
                </c:pt>
                <c:pt idx="6">
                  <c:v>-0.19679649122807019</c:v>
                </c:pt>
                <c:pt idx="7">
                  <c:v>-0.17331052631578947</c:v>
                </c:pt>
                <c:pt idx="8">
                  <c:v>-0.16670350877192985</c:v>
                </c:pt>
                <c:pt idx="9">
                  <c:v>-0.16141715827000525</c:v>
                </c:pt>
                <c:pt idx="10">
                  <c:v>-0.14593217593800123</c:v>
                </c:pt>
                <c:pt idx="11">
                  <c:v>-0.13348665996184472</c:v>
                </c:pt>
                <c:pt idx="12">
                  <c:v>-0.12709044745589615</c:v>
                </c:pt>
                <c:pt idx="13">
                  <c:v>-0.13000028588023904</c:v>
                </c:pt>
                <c:pt idx="14">
                  <c:v>-0.12105064366984575</c:v>
                </c:pt>
                <c:pt idx="15">
                  <c:v>-0.13768067465320766</c:v>
                </c:pt>
                <c:pt idx="16">
                  <c:v>-0.13543407444624977</c:v>
                </c:pt>
                <c:pt idx="17">
                  <c:v>-0.11083499142944875</c:v>
                </c:pt>
                <c:pt idx="18">
                  <c:v>-0.11724051322249662</c:v>
                </c:pt>
                <c:pt idx="19">
                  <c:v>-0.1031643671996586</c:v>
                </c:pt>
                <c:pt idx="20">
                  <c:v>-8.509724680217623E-2</c:v>
                </c:pt>
                <c:pt idx="21">
                  <c:v>-8.678616251609883E-2</c:v>
                </c:pt>
                <c:pt idx="22">
                  <c:v>-8.9346470014878276E-2</c:v>
                </c:pt>
                <c:pt idx="23">
                  <c:v>-9.4837030433826408E-2</c:v>
                </c:pt>
                <c:pt idx="24">
                  <c:v>-0.10310020107731921</c:v>
                </c:pt>
                <c:pt idx="25">
                  <c:v>-0.11058228781184032</c:v>
                </c:pt>
                <c:pt idx="26">
                  <c:v>-0.11060640382401477</c:v>
                </c:pt>
                <c:pt idx="27">
                  <c:v>-0.11859976567749986</c:v>
                </c:pt>
                <c:pt idx="28">
                  <c:v>-0.12437883914041437</c:v>
                </c:pt>
                <c:pt idx="29">
                  <c:v>-0.1253001804237186</c:v>
                </c:pt>
                <c:pt idx="30">
                  <c:v>-0.14092845249518537</c:v>
                </c:pt>
                <c:pt idx="31">
                  <c:v>-0.14405241442986716</c:v>
                </c:pt>
                <c:pt idx="32">
                  <c:v>-0.14156568823446791</c:v>
                </c:pt>
                <c:pt idx="33">
                  <c:v>-0.14391611510706637</c:v>
                </c:pt>
                <c:pt idx="34">
                  <c:v>-0.14871751742980766</c:v>
                </c:pt>
                <c:pt idx="35">
                  <c:v>-0.14687606579477908</c:v>
                </c:pt>
                <c:pt idx="36">
                  <c:v>-0.14689953971206315</c:v>
                </c:pt>
                <c:pt idx="37">
                  <c:v>-0.14692301362934745</c:v>
                </c:pt>
                <c:pt idx="38">
                  <c:v>-0.14039423573179866</c:v>
                </c:pt>
                <c:pt idx="39">
                  <c:v>-0.13985714037213126</c:v>
                </c:pt>
                <c:pt idx="40">
                  <c:v>-0.12834728920698901</c:v>
                </c:pt>
                <c:pt idx="41">
                  <c:v>-0.13451760562821247</c:v>
                </c:pt>
                <c:pt idx="42">
                  <c:v>-0.13358074845569146</c:v>
                </c:pt>
                <c:pt idx="43">
                  <c:v>-0.12833025214484617</c:v>
                </c:pt>
                <c:pt idx="44">
                  <c:v>-0.13081911318045425</c:v>
                </c:pt>
                <c:pt idx="45">
                  <c:v>-0.13511372155787416</c:v>
                </c:pt>
                <c:pt idx="46">
                  <c:v>-0.13231511223287973</c:v>
                </c:pt>
                <c:pt idx="47">
                  <c:v>-0.12927580909378045</c:v>
                </c:pt>
                <c:pt idx="48">
                  <c:v>-0.12950435946997485</c:v>
                </c:pt>
                <c:pt idx="49">
                  <c:v>-0.13083397529849372</c:v>
                </c:pt>
                <c:pt idx="50">
                  <c:v>-0.13804355251043776</c:v>
                </c:pt>
                <c:pt idx="51">
                  <c:v>-0.14136577962831542</c:v>
                </c:pt>
                <c:pt idx="52">
                  <c:v>-0.13517262629400661</c:v>
                </c:pt>
                <c:pt idx="53">
                  <c:v>-0.14101434491028131</c:v>
                </c:pt>
                <c:pt idx="54">
                  <c:v>-0.130525314481159</c:v>
                </c:pt>
                <c:pt idx="55">
                  <c:v>-0.12517549572292697</c:v>
                </c:pt>
                <c:pt idx="56">
                  <c:v>-0.12658195957643104</c:v>
                </c:pt>
                <c:pt idx="57">
                  <c:v>-0.12950580943271039</c:v>
                </c:pt>
                <c:pt idx="58">
                  <c:v>-0.12386545439133823</c:v>
                </c:pt>
                <c:pt idx="59">
                  <c:v>-0.12351202597454281</c:v>
                </c:pt>
                <c:pt idx="60">
                  <c:v>-0.14879502619469853</c:v>
                </c:pt>
                <c:pt idx="61">
                  <c:v>-0.1675048015984838</c:v>
                </c:pt>
                <c:pt idx="62">
                  <c:v>-0.15054494997119094</c:v>
                </c:pt>
                <c:pt idx="63">
                  <c:v>-0.12932619529884148</c:v>
                </c:pt>
                <c:pt idx="64">
                  <c:v>-0.12626169905721163</c:v>
                </c:pt>
                <c:pt idx="65">
                  <c:v>-0.12566286444742081</c:v>
                </c:pt>
                <c:pt idx="66">
                  <c:v>-0.13900832146561848</c:v>
                </c:pt>
                <c:pt idx="67">
                  <c:v>-0.11811617089945636</c:v>
                </c:pt>
                <c:pt idx="68">
                  <c:v>-9.9255780616513523E-2</c:v>
                </c:pt>
                <c:pt idx="69">
                  <c:v>-0.10453654489946396</c:v>
                </c:pt>
                <c:pt idx="70">
                  <c:v>-0.10065880080852052</c:v>
                </c:pt>
                <c:pt idx="71">
                  <c:v>-0.10556184979885475</c:v>
                </c:pt>
                <c:pt idx="72">
                  <c:v>-9.4639099266454751E-2</c:v>
                </c:pt>
                <c:pt idx="73">
                  <c:v>-9.7001994789409962E-2</c:v>
                </c:pt>
                <c:pt idx="74">
                  <c:v>-9.5112512099618685E-2</c:v>
                </c:pt>
                <c:pt idx="75">
                  <c:v>-0.10037062071482583</c:v>
                </c:pt>
                <c:pt idx="76">
                  <c:v>-0.10541576605324599</c:v>
                </c:pt>
                <c:pt idx="77">
                  <c:v>-9.8571941941349772E-2</c:v>
                </c:pt>
                <c:pt idx="78">
                  <c:v>-8.3226986310799389E-2</c:v>
                </c:pt>
                <c:pt idx="79">
                  <c:v>-8.3520603764752566E-2</c:v>
                </c:pt>
                <c:pt idx="80">
                  <c:v>-7.7162154678588779E-2</c:v>
                </c:pt>
                <c:pt idx="81">
                  <c:v>-8.6122924384418931E-2</c:v>
                </c:pt>
                <c:pt idx="82">
                  <c:v>-8.5223766243022969E-2</c:v>
                </c:pt>
                <c:pt idx="83">
                  <c:v>-9.057385326045353E-2</c:v>
                </c:pt>
                <c:pt idx="84">
                  <c:v>-8.9903106919647646E-2</c:v>
                </c:pt>
                <c:pt idx="85">
                  <c:v>-9.9739161939656262E-2</c:v>
                </c:pt>
                <c:pt idx="86">
                  <c:v>-9.8766151959350235E-2</c:v>
                </c:pt>
                <c:pt idx="87">
                  <c:v>-0.10069602463518734</c:v>
                </c:pt>
                <c:pt idx="88">
                  <c:v>-9.7545852662774268E-2</c:v>
                </c:pt>
                <c:pt idx="89">
                  <c:v>-9.7334849379705823E-2</c:v>
                </c:pt>
                <c:pt idx="90">
                  <c:v>-9.8243995941576623E-2</c:v>
                </c:pt>
                <c:pt idx="91">
                  <c:v>-9.8268917739967487E-2</c:v>
                </c:pt>
                <c:pt idx="92">
                  <c:v>-9.3777707587540893E-2</c:v>
                </c:pt>
                <c:pt idx="93">
                  <c:v>-9.1161641085576339E-2</c:v>
                </c:pt>
                <c:pt idx="94">
                  <c:v>-9.73749770398884E-2</c:v>
                </c:pt>
                <c:pt idx="95">
                  <c:v>-9.8276301085351458E-2</c:v>
                </c:pt>
                <c:pt idx="96">
                  <c:v>-9.8487585320082394E-2</c:v>
                </c:pt>
                <c:pt idx="97">
                  <c:v>-0.10179511572994981</c:v>
                </c:pt>
                <c:pt idx="98">
                  <c:v>-9.8112270984000993E-2</c:v>
                </c:pt>
                <c:pt idx="99">
                  <c:v>-0.10080226107544543</c:v>
                </c:pt>
                <c:pt idx="100">
                  <c:v>-0.10087644359168357</c:v>
                </c:pt>
                <c:pt idx="101">
                  <c:v>-0.10090117109709662</c:v>
                </c:pt>
                <c:pt idx="102">
                  <c:v>-0.10092589860250911</c:v>
                </c:pt>
                <c:pt idx="103">
                  <c:v>-0.10116372282996056</c:v>
                </c:pt>
                <c:pt idx="104">
                  <c:v>-0.11921027056299072</c:v>
                </c:pt>
                <c:pt idx="105">
                  <c:v>-0.12057620725313634</c:v>
                </c:pt>
                <c:pt idx="106">
                  <c:v>-0.11390362636108708</c:v>
                </c:pt>
                <c:pt idx="107">
                  <c:v>-0.11752105975340554</c:v>
                </c:pt>
                <c:pt idx="108">
                  <c:v>-0.11852514186695495</c:v>
                </c:pt>
                <c:pt idx="109">
                  <c:v>-0.11722934891714454</c:v>
                </c:pt>
                <c:pt idx="110">
                  <c:v>-0.11730203707014997</c:v>
                </c:pt>
                <c:pt idx="111">
                  <c:v>-0.11217731694950295</c:v>
                </c:pt>
                <c:pt idx="112">
                  <c:v>-0.11536970944712854</c:v>
                </c:pt>
                <c:pt idx="113">
                  <c:v>-0.11686844060189283</c:v>
                </c:pt>
                <c:pt idx="114">
                  <c:v>-0.11475459793012333</c:v>
                </c:pt>
                <c:pt idx="115">
                  <c:v>-0.11350746908274889</c:v>
                </c:pt>
                <c:pt idx="116">
                  <c:v>-0.11617954581846557</c:v>
                </c:pt>
                <c:pt idx="117">
                  <c:v>-0.11698411195648706</c:v>
                </c:pt>
                <c:pt idx="118">
                  <c:v>-0.1140184079360308</c:v>
                </c:pt>
                <c:pt idx="119">
                  <c:v>-0.11920527574305173</c:v>
                </c:pt>
                <c:pt idx="120">
                  <c:v>-0.11730675974675786</c:v>
                </c:pt>
                <c:pt idx="121">
                  <c:v>-0.11291357538818381</c:v>
                </c:pt>
                <c:pt idx="122">
                  <c:v>-0.11173886091546092</c:v>
                </c:pt>
                <c:pt idx="123">
                  <c:v>-0.11661108894906769</c:v>
                </c:pt>
                <c:pt idx="124">
                  <c:v>-0.11465815950490232</c:v>
                </c:pt>
                <c:pt idx="125">
                  <c:v>-0.11473105299167341</c:v>
                </c:pt>
                <c:pt idx="126">
                  <c:v>-0.1179076347893514</c:v>
                </c:pt>
                <c:pt idx="127">
                  <c:v>-0.12164744710593878</c:v>
                </c:pt>
                <c:pt idx="128">
                  <c:v>-0.11872849073943992</c:v>
                </c:pt>
                <c:pt idx="129">
                  <c:v>-0.12687996745350061</c:v>
                </c:pt>
                <c:pt idx="130">
                  <c:v>-0.14091822633676077</c:v>
                </c:pt>
                <c:pt idx="131">
                  <c:v>-0.1364461938122149</c:v>
                </c:pt>
                <c:pt idx="132">
                  <c:v>-0.1413119196099123</c:v>
                </c:pt>
                <c:pt idx="133">
                  <c:v>-0.13809926751408563</c:v>
                </c:pt>
                <c:pt idx="134">
                  <c:v>-0.1392687801980812</c:v>
                </c:pt>
                <c:pt idx="135">
                  <c:v>-0.14369502329290906</c:v>
                </c:pt>
                <c:pt idx="136">
                  <c:v>-0.14247369805540555</c:v>
                </c:pt>
                <c:pt idx="137">
                  <c:v>-0.14678878713848109</c:v>
                </c:pt>
                <c:pt idx="138">
                  <c:v>-0.14882460297934086</c:v>
                </c:pt>
                <c:pt idx="139">
                  <c:v>-0.14996098848249417</c:v>
                </c:pt>
                <c:pt idx="140">
                  <c:v>-0.15143726981222461</c:v>
                </c:pt>
                <c:pt idx="141">
                  <c:v>-0.14984538557248828</c:v>
                </c:pt>
                <c:pt idx="142">
                  <c:v>-0.14907839551356317</c:v>
                </c:pt>
                <c:pt idx="143">
                  <c:v>-0.14772291888256583</c:v>
                </c:pt>
                <c:pt idx="144">
                  <c:v>-0.1487566375029431</c:v>
                </c:pt>
                <c:pt idx="145">
                  <c:v>-0.14956626854051469</c:v>
                </c:pt>
                <c:pt idx="146">
                  <c:v>-0.14793386510437612</c:v>
                </c:pt>
                <c:pt idx="147">
                  <c:v>-0.14877669176737862</c:v>
                </c:pt>
                <c:pt idx="148">
                  <c:v>-0.1486632790842054</c:v>
                </c:pt>
                <c:pt idx="149">
                  <c:v>-0.14868675557806676</c:v>
                </c:pt>
                <c:pt idx="150">
                  <c:v>-0.14875718505965119</c:v>
                </c:pt>
                <c:pt idx="151">
                  <c:v>-0.1487530099397516</c:v>
                </c:pt>
                <c:pt idx="152">
                  <c:v>-0.14950193062730832</c:v>
                </c:pt>
                <c:pt idx="153">
                  <c:v>-0.14926182701078961</c:v>
                </c:pt>
                <c:pt idx="154">
                  <c:v>-0.14977461386796154</c:v>
                </c:pt>
                <c:pt idx="155">
                  <c:v>-0.15059772848947095</c:v>
                </c:pt>
                <c:pt idx="156">
                  <c:v>-0.15144247160095192</c:v>
                </c:pt>
                <c:pt idx="157">
                  <c:v>-0.15009698787987813</c:v>
                </c:pt>
                <c:pt idx="158">
                  <c:v>-0.14909372710139102</c:v>
                </c:pt>
                <c:pt idx="159">
                  <c:v>-0.1442124643821</c:v>
                </c:pt>
                <c:pt idx="160">
                  <c:v>-0.14483086123935418</c:v>
                </c:pt>
                <c:pt idx="161">
                  <c:v>-0.1447859615892868</c:v>
                </c:pt>
                <c:pt idx="162">
                  <c:v>-0.1450148402932887</c:v>
                </c:pt>
                <c:pt idx="163">
                  <c:v>-0.14154771121735443</c:v>
                </c:pt>
                <c:pt idx="164">
                  <c:v>-0.14400123884741656</c:v>
                </c:pt>
                <c:pt idx="165">
                  <c:v>-0.14327697394448791</c:v>
                </c:pt>
                <c:pt idx="166">
                  <c:v>-0.14770899612545663</c:v>
                </c:pt>
                <c:pt idx="167">
                  <c:v>-0.14703827441029538</c:v>
                </c:pt>
                <c:pt idx="168">
                  <c:v>-0.1443677102930272</c:v>
                </c:pt>
                <c:pt idx="169">
                  <c:v>-0.15509214178520414</c:v>
                </c:pt>
                <c:pt idx="170">
                  <c:v>-0.15655065127759815</c:v>
                </c:pt>
                <c:pt idx="171">
                  <c:v>-0.15762811030404922</c:v>
                </c:pt>
                <c:pt idx="172">
                  <c:v>-0.16262255290628291</c:v>
                </c:pt>
                <c:pt idx="173">
                  <c:v>-0.15141059203180862</c:v>
                </c:pt>
                <c:pt idx="174">
                  <c:v>-0.16101183149923093</c:v>
                </c:pt>
                <c:pt idx="175">
                  <c:v>-0.16362451343458528</c:v>
                </c:pt>
                <c:pt idx="176">
                  <c:v>-0.16173852623888152</c:v>
                </c:pt>
                <c:pt idx="177">
                  <c:v>-0.15898482699376681</c:v>
                </c:pt>
                <c:pt idx="178">
                  <c:v>-0.15920620247511963</c:v>
                </c:pt>
                <c:pt idx="179">
                  <c:v>-0.15827488077152174</c:v>
                </c:pt>
                <c:pt idx="180">
                  <c:v>-0.16849815843978155</c:v>
                </c:pt>
                <c:pt idx="181">
                  <c:v>-0.16808734247399404</c:v>
                </c:pt>
                <c:pt idx="182">
                  <c:v>-0.17088738217659283</c:v>
                </c:pt>
                <c:pt idx="183">
                  <c:v>-0.16891444153819379</c:v>
                </c:pt>
                <c:pt idx="184">
                  <c:v>-0.16407776476312552</c:v>
                </c:pt>
                <c:pt idx="185">
                  <c:v>-0.17282526374228868</c:v>
                </c:pt>
                <c:pt idx="186">
                  <c:v>-0.17441021152411063</c:v>
                </c:pt>
                <c:pt idx="187">
                  <c:v>-0.174433121413204</c:v>
                </c:pt>
                <c:pt idx="188">
                  <c:v>-0.17834134022081094</c:v>
                </c:pt>
                <c:pt idx="189">
                  <c:v>-0.17737478588474365</c:v>
                </c:pt>
                <c:pt idx="190">
                  <c:v>-0.17988602213695359</c:v>
                </c:pt>
                <c:pt idx="191">
                  <c:v>-0.17557557857196904</c:v>
                </c:pt>
                <c:pt idx="192">
                  <c:v>-0.17416696751225946</c:v>
                </c:pt>
                <c:pt idx="193">
                  <c:v>-0.17280139927448301</c:v>
                </c:pt>
                <c:pt idx="194">
                  <c:v>-0.17013413279276601</c:v>
                </c:pt>
                <c:pt idx="195">
                  <c:v>-0.16627655850701573</c:v>
                </c:pt>
                <c:pt idx="196">
                  <c:v>-0.16702673934668411</c:v>
                </c:pt>
                <c:pt idx="197">
                  <c:v>-0.17126714799521958</c:v>
                </c:pt>
                <c:pt idx="198">
                  <c:v>-0.17470756734473103</c:v>
                </c:pt>
                <c:pt idx="199">
                  <c:v>-0.17473039925164735</c:v>
                </c:pt>
                <c:pt idx="200">
                  <c:v>-0.17945253205088585</c:v>
                </c:pt>
                <c:pt idx="201">
                  <c:v>-0.17773010462720995</c:v>
                </c:pt>
                <c:pt idx="202">
                  <c:v>-0.18022510851899454</c:v>
                </c:pt>
                <c:pt idx="203">
                  <c:v>-0.18068407347586046</c:v>
                </c:pt>
                <c:pt idx="204">
                  <c:v>-0.18521497087640493</c:v>
                </c:pt>
                <c:pt idx="205">
                  <c:v>-0.18826383029360916</c:v>
                </c:pt>
                <c:pt idx="206">
                  <c:v>-0.18763188092096605</c:v>
                </c:pt>
                <c:pt idx="207">
                  <c:v>-0.18656365307221467</c:v>
                </c:pt>
                <c:pt idx="208">
                  <c:v>-0.18745867836595098</c:v>
                </c:pt>
                <c:pt idx="209">
                  <c:v>-0.18340921426379231</c:v>
                </c:pt>
                <c:pt idx="210">
                  <c:v>-0.18682971022956141</c:v>
                </c:pt>
                <c:pt idx="211">
                  <c:v>-0.18423450771443062</c:v>
                </c:pt>
                <c:pt idx="212">
                  <c:v>-0.18367534413421849</c:v>
                </c:pt>
                <c:pt idx="213">
                  <c:v>-0.18275268787032861</c:v>
                </c:pt>
                <c:pt idx="214">
                  <c:v>-0.1831388670347639</c:v>
                </c:pt>
                <c:pt idx="215">
                  <c:v>-0.18320670833779862</c:v>
                </c:pt>
                <c:pt idx="216">
                  <c:v>-0.18599241912083009</c:v>
                </c:pt>
                <c:pt idx="217">
                  <c:v>-0.18819642526905034</c:v>
                </c:pt>
                <c:pt idx="218">
                  <c:v>-0.1876372616888381</c:v>
                </c:pt>
                <c:pt idx="219">
                  <c:v>-0.18853235969565385</c:v>
                </c:pt>
                <c:pt idx="220">
                  <c:v>-0.18961796597037028</c:v>
                </c:pt>
                <c:pt idx="221">
                  <c:v>-0.18811345964551041</c:v>
                </c:pt>
                <c:pt idx="222">
                  <c:v>-0.18457305981189076</c:v>
                </c:pt>
                <c:pt idx="223">
                  <c:v>-0.18212342888162147</c:v>
                </c:pt>
                <c:pt idx="224">
                  <c:v>-0.18469107313967814</c:v>
                </c:pt>
                <c:pt idx="225">
                  <c:v>-0.18475891444271297</c:v>
                </c:pt>
                <c:pt idx="226">
                  <c:v>-0.18318184046466046</c:v>
                </c:pt>
                <c:pt idx="227">
                  <c:v>-0.18246380764675296</c:v>
                </c:pt>
                <c:pt idx="228">
                  <c:v>-0.18204733007765195</c:v>
                </c:pt>
                <c:pt idx="229">
                  <c:v>-0.18163085250855104</c:v>
                </c:pt>
                <c:pt idx="230">
                  <c:v>-0.18104011080108739</c:v>
                </c:pt>
                <c:pt idx="231">
                  <c:v>-0.18357097495354058</c:v>
                </c:pt>
                <c:pt idx="232">
                  <c:v>-0.18189211150023799</c:v>
                </c:pt>
                <c:pt idx="233">
                  <c:v>-0.18668983649631787</c:v>
                </c:pt>
                <c:pt idx="234">
                  <c:v>-0.18424245447125032</c:v>
                </c:pt>
                <c:pt idx="235">
                  <c:v>-0.18255376636258791</c:v>
                </c:pt>
                <c:pt idx="236">
                  <c:v>-0.18307035662094051</c:v>
                </c:pt>
                <c:pt idx="237">
                  <c:v>-0.1826538790518395</c:v>
                </c:pt>
                <c:pt idx="238">
                  <c:v>-0.17943819800037841</c:v>
                </c:pt>
                <c:pt idx="239">
                  <c:v>-0.17955955170429005</c:v>
                </c:pt>
                <c:pt idx="240">
                  <c:v>-0.17770669854433885</c:v>
                </c:pt>
                <c:pt idx="241">
                  <c:v>-0.18255941965589551</c:v>
                </c:pt>
                <c:pt idx="242">
                  <c:v>-0.18346021431378767</c:v>
                </c:pt>
                <c:pt idx="243">
                  <c:v>-0.18458055434284515</c:v>
                </c:pt>
                <c:pt idx="244">
                  <c:v>-0.18460311262973239</c:v>
                </c:pt>
                <c:pt idx="245">
                  <c:v>-0.18795216749417665</c:v>
                </c:pt>
                <c:pt idx="246">
                  <c:v>-0.18830393406512658</c:v>
                </c:pt>
                <c:pt idx="247">
                  <c:v>-0.18680723838354851</c:v>
                </c:pt>
                <c:pt idx="248">
                  <c:v>-0.18139599384774685</c:v>
                </c:pt>
                <c:pt idx="249">
                  <c:v>-0.18212422584390264</c:v>
                </c:pt>
                <c:pt idx="250">
                  <c:v>-0.182192065363593</c:v>
                </c:pt>
                <c:pt idx="251">
                  <c:v>-0.17874042792447165</c:v>
                </c:pt>
                <c:pt idx="252">
                  <c:v>-0.17208456626746571</c:v>
                </c:pt>
                <c:pt idx="253">
                  <c:v>-0.16567480125677314</c:v>
                </c:pt>
                <c:pt idx="254">
                  <c:v>-0.15062145415464723</c:v>
                </c:pt>
                <c:pt idx="255">
                  <c:v>-0.13875328004769782</c:v>
                </c:pt>
                <c:pt idx="256">
                  <c:v>-0.13883931936992799</c:v>
                </c:pt>
                <c:pt idx="257">
                  <c:v>-0.14693912949914201</c:v>
                </c:pt>
                <c:pt idx="258">
                  <c:v>-0.15115629873349978</c:v>
                </c:pt>
                <c:pt idx="259">
                  <c:v>-0.1477218699035453</c:v>
                </c:pt>
                <c:pt idx="260">
                  <c:v>-0.15033920472245876</c:v>
                </c:pt>
                <c:pt idx="261">
                  <c:v>-0.1502596261146778</c:v>
                </c:pt>
                <c:pt idx="262">
                  <c:v>-0.1477034195940129</c:v>
                </c:pt>
                <c:pt idx="263">
                  <c:v>-0.15555449221693896</c:v>
                </c:pt>
                <c:pt idx="264">
                  <c:v>-0.15402485594887416</c:v>
                </c:pt>
                <c:pt idx="265">
                  <c:v>-0.15764931675478633</c:v>
                </c:pt>
                <c:pt idx="266">
                  <c:v>-0.15717569668786791</c:v>
                </c:pt>
                <c:pt idx="267">
                  <c:v>-0.15471422660503764</c:v>
                </c:pt>
                <c:pt idx="268">
                  <c:v>-0.14653757124723232</c:v>
                </c:pt>
                <c:pt idx="269">
                  <c:v>-0.14618850630022129</c:v>
                </c:pt>
                <c:pt idx="270">
                  <c:v>-0.14625969840366926</c:v>
                </c:pt>
                <c:pt idx="271">
                  <c:v>-0.1418852977436339</c:v>
                </c:pt>
                <c:pt idx="272">
                  <c:v>-0.14520430342506607</c:v>
                </c:pt>
                <c:pt idx="273">
                  <c:v>-0.14777343137462895</c:v>
                </c:pt>
                <c:pt idx="274">
                  <c:v>-0.14568904337550692</c:v>
                </c:pt>
                <c:pt idx="275">
                  <c:v>-0.14576023547895511</c:v>
                </c:pt>
                <c:pt idx="276">
                  <c:v>-0.1425713137980642</c:v>
                </c:pt>
                <c:pt idx="277">
                  <c:v>-0.14733992906612636</c:v>
                </c:pt>
                <c:pt idx="278">
                  <c:v>-0.15107832156503342</c:v>
                </c:pt>
                <c:pt idx="279">
                  <c:v>-0.15329459186928618</c:v>
                </c:pt>
                <c:pt idx="280">
                  <c:v>-0.15444332773032421</c:v>
                </c:pt>
                <c:pt idx="281">
                  <c:v>-0.15408185740822167</c:v>
                </c:pt>
                <c:pt idx="282">
                  <c:v>-0.14973369941518266</c:v>
                </c:pt>
                <c:pt idx="283">
                  <c:v>-0.15186008740634716</c:v>
                </c:pt>
                <c:pt idx="284">
                  <c:v>-0.14921203692020302</c:v>
                </c:pt>
                <c:pt idx="285">
                  <c:v>-0.14857687576352496</c:v>
                </c:pt>
                <c:pt idx="286">
                  <c:v>-0.15132063177200383</c:v>
                </c:pt>
                <c:pt idx="287">
                  <c:v>-0.1493492058491156</c:v>
                </c:pt>
                <c:pt idx="288">
                  <c:v>-0.15003812385411353</c:v>
                </c:pt>
                <c:pt idx="289">
                  <c:v>-0.14920853221093433</c:v>
                </c:pt>
                <c:pt idx="290">
                  <c:v>-0.1492793812567641</c:v>
                </c:pt>
                <c:pt idx="291">
                  <c:v>-0.14930299760537402</c:v>
                </c:pt>
                <c:pt idx="292">
                  <c:v>-0.14461903454579961</c:v>
                </c:pt>
                <c:pt idx="293">
                  <c:v>-0.14001384656686233</c:v>
                </c:pt>
                <c:pt idx="294">
                  <c:v>-0.1402675875179088</c:v>
                </c:pt>
                <c:pt idx="295">
                  <c:v>-0.13610485560448071</c:v>
                </c:pt>
                <c:pt idx="296">
                  <c:v>-0.13943956420940562</c:v>
                </c:pt>
                <c:pt idx="297">
                  <c:v>-0.13946346143593813</c:v>
                </c:pt>
                <c:pt idx="298">
                  <c:v>-0.13387394993590773</c:v>
                </c:pt>
                <c:pt idx="299">
                  <c:v>-0.13225506219600613</c:v>
                </c:pt>
                <c:pt idx="300">
                  <c:v>-0.13232730152037808</c:v>
                </c:pt>
                <c:pt idx="301">
                  <c:v>-0.13417525413376996</c:v>
                </c:pt>
                <c:pt idx="302">
                  <c:v>-0.13315869845182848</c:v>
                </c:pt>
                <c:pt idx="303">
                  <c:v>-0.13941304623011486</c:v>
                </c:pt>
                <c:pt idx="304">
                  <c:v>-0.14809518839756364</c:v>
                </c:pt>
                <c:pt idx="305">
                  <c:v>-0.14762562712872296</c:v>
                </c:pt>
                <c:pt idx="306">
                  <c:v>-0.13996952325542489</c:v>
                </c:pt>
                <c:pt idx="307">
                  <c:v>-0.11651715621849423</c:v>
                </c:pt>
                <c:pt idx="308">
                  <c:v>-0.11310238403625072</c:v>
                </c:pt>
                <c:pt idx="309">
                  <c:v>-0.12894773077292654</c:v>
                </c:pt>
                <c:pt idx="310">
                  <c:v>-0.12253473348777744</c:v>
                </c:pt>
                <c:pt idx="311">
                  <c:v>-0.12842618710140363</c:v>
                </c:pt>
                <c:pt idx="312">
                  <c:v>-0.13557460272619981</c:v>
                </c:pt>
                <c:pt idx="313">
                  <c:v>-0.1155524355411176</c:v>
                </c:pt>
                <c:pt idx="314">
                  <c:v>-0.10029673040613252</c:v>
                </c:pt>
                <c:pt idx="315">
                  <c:v>-8.5730209734685037E-2</c:v>
                </c:pt>
                <c:pt idx="316">
                  <c:v>-9.9119707307215643E-2</c:v>
                </c:pt>
                <c:pt idx="317">
                  <c:v>-8.6983093731277883E-2</c:v>
                </c:pt>
                <c:pt idx="318">
                  <c:v>-9.1626920547826174E-2</c:v>
                </c:pt>
                <c:pt idx="319">
                  <c:v>-8.9185712929994221E-2</c:v>
                </c:pt>
                <c:pt idx="320">
                  <c:v>-8.7221338221453837E-2</c:v>
                </c:pt>
                <c:pt idx="321">
                  <c:v>-8.2373463277930936E-2</c:v>
                </c:pt>
                <c:pt idx="322">
                  <c:v>-8.3004925912828265E-2</c:v>
                </c:pt>
                <c:pt idx="323">
                  <c:v>-8.7227432152110373E-2</c:v>
                </c:pt>
                <c:pt idx="324">
                  <c:v>-9.1748931379574405E-2</c:v>
                </c:pt>
                <c:pt idx="325">
                  <c:v>-9.954698910535098E-2</c:v>
                </c:pt>
                <c:pt idx="326">
                  <c:v>-0.11817819127446905</c:v>
                </c:pt>
                <c:pt idx="327">
                  <c:v>-0.11282686188366176</c:v>
                </c:pt>
                <c:pt idx="328">
                  <c:v>-0.12262569975592019</c:v>
                </c:pt>
                <c:pt idx="329">
                  <c:v>-0.12362750708915771</c:v>
                </c:pt>
                <c:pt idx="330">
                  <c:v>-0.13396343762897456</c:v>
                </c:pt>
                <c:pt idx="331">
                  <c:v>-0.12941198045745084</c:v>
                </c:pt>
                <c:pt idx="332">
                  <c:v>-0.13561909053084364</c:v>
                </c:pt>
                <c:pt idx="333">
                  <c:v>-0.13085377371298368</c:v>
                </c:pt>
                <c:pt idx="334">
                  <c:v>-0.12550210222493585</c:v>
                </c:pt>
                <c:pt idx="335">
                  <c:v>-0.12901617395021203</c:v>
                </c:pt>
                <c:pt idx="336">
                  <c:v>-9.0353809961850273E-2</c:v>
                </c:pt>
                <c:pt idx="337">
                  <c:v>-6.301129704796915E-2</c:v>
                </c:pt>
                <c:pt idx="338">
                  <c:v>-6.4992137812434514E-2</c:v>
                </c:pt>
                <c:pt idx="339">
                  <c:v>-6.0130984896205164E-2</c:v>
                </c:pt>
                <c:pt idx="340">
                  <c:v>-4.9167648017342414E-2</c:v>
                </c:pt>
                <c:pt idx="341">
                  <c:v>-5.310372112427153E-2</c:v>
                </c:pt>
                <c:pt idx="342">
                  <c:v>-5.6062373544106148E-2</c:v>
                </c:pt>
                <c:pt idx="343">
                  <c:v>-5.5111196602460222E-2</c:v>
                </c:pt>
                <c:pt idx="344">
                  <c:v>-5.9047171967320566E-2</c:v>
                </c:pt>
                <c:pt idx="345">
                  <c:v>-5.9125658848494189E-2</c:v>
                </c:pt>
                <c:pt idx="346">
                  <c:v>-6.6971170348628872E-2</c:v>
                </c:pt>
                <c:pt idx="347">
                  <c:v>-6.9929382929154515E-2</c:v>
                </c:pt>
                <c:pt idx="348">
                  <c:v>-4.3564877154779857E-2</c:v>
                </c:pt>
                <c:pt idx="349">
                  <c:v>-4.9455987120035294E-2</c:v>
                </c:pt>
                <c:pt idx="350">
                  <c:v>-4.5625622060415427E-2</c:v>
                </c:pt>
                <c:pt idx="351">
                  <c:v>-4.9561841780447535E-2</c:v>
                </c:pt>
                <c:pt idx="352">
                  <c:v>-5.3497963758410871E-2</c:v>
                </c:pt>
                <c:pt idx="353">
                  <c:v>-5.8411408681399934E-2</c:v>
                </c:pt>
                <c:pt idx="354">
                  <c:v>-5.8437603555814066E-2</c:v>
                </c:pt>
                <c:pt idx="355">
                  <c:v>-5.8516188179056572E-2</c:v>
                </c:pt>
                <c:pt idx="356">
                  <c:v>-5.5070584772911602E-2</c:v>
                </c:pt>
                <c:pt idx="357">
                  <c:v>-5.4119456702299895E-2</c:v>
                </c:pt>
                <c:pt idx="358">
                  <c:v>-5.5123170005877076E-2</c:v>
                </c:pt>
                <c:pt idx="359">
                  <c:v>-5.5149462622359979E-2</c:v>
                </c:pt>
                <c:pt idx="360">
                  <c:v>-5.5228340471808468E-2</c:v>
                </c:pt>
                <c:pt idx="361">
                  <c:v>-6.0110312448673153E-2</c:v>
                </c:pt>
                <c:pt idx="362">
                  <c:v>-6.209129982624173E-2</c:v>
                </c:pt>
                <c:pt idx="363">
                  <c:v>-6.211739695858709E-2</c:v>
                </c:pt>
                <c:pt idx="364">
                  <c:v>-8.0383874598315863E-2</c:v>
                </c:pt>
                <c:pt idx="365">
                  <c:v>-0.10861056226574262</c:v>
                </c:pt>
                <c:pt idx="366">
                  <c:v>-0.11919158104284844</c:v>
                </c:pt>
                <c:pt idx="367">
                  <c:v>-0.13563683071631449</c:v>
                </c:pt>
                <c:pt idx="368">
                  <c:v>-0.13800678265631217</c:v>
                </c:pt>
                <c:pt idx="369">
                  <c:v>-0.13333920790716169</c:v>
                </c:pt>
                <c:pt idx="370">
                  <c:v>-0.12050982832353252</c:v>
                </c:pt>
                <c:pt idx="371">
                  <c:v>-0.12405307605631843</c:v>
                </c:pt>
                <c:pt idx="372">
                  <c:v>-0.12876913087154873</c:v>
                </c:pt>
                <c:pt idx="373">
                  <c:v>-0.13348503907367615</c:v>
                </c:pt>
                <c:pt idx="374">
                  <c:v>-0.13233632541116858</c:v>
                </c:pt>
                <c:pt idx="375">
                  <c:v>-0.13240889889718521</c:v>
                </c:pt>
                <c:pt idx="376">
                  <c:v>-0.13712470935724386</c:v>
                </c:pt>
                <c:pt idx="377">
                  <c:v>-0.15708818479390596</c:v>
                </c:pt>
                <c:pt idx="378">
                  <c:v>-0.15595388675944066</c:v>
                </c:pt>
                <c:pt idx="379">
                  <c:v>-0.15481958872497525</c:v>
                </c:pt>
                <c:pt idx="380">
                  <c:v>-0.15604820254105767</c:v>
                </c:pt>
                <c:pt idx="381">
                  <c:v>-0.15259822291190317</c:v>
                </c:pt>
                <c:pt idx="382">
                  <c:v>-0.11904447903852222</c:v>
                </c:pt>
                <c:pt idx="383">
                  <c:v>-0.12131461889518258</c:v>
                </c:pt>
                <c:pt idx="384">
                  <c:v>-0.12828617130946063</c:v>
                </c:pt>
                <c:pt idx="385">
                  <c:v>-0.12835911527969335</c:v>
                </c:pt>
                <c:pt idx="386">
                  <c:v>-0.12490990754440379</c:v>
                </c:pt>
                <c:pt idx="387">
                  <c:v>-0.12725000028257039</c:v>
                </c:pt>
                <c:pt idx="388">
                  <c:v>-0.12495868158799195</c:v>
                </c:pt>
                <c:pt idx="389">
                  <c:v>-0.12845661512350304</c:v>
                </c:pt>
                <c:pt idx="390">
                  <c:v>-0.12852955394243881</c:v>
                </c:pt>
                <c:pt idx="391">
                  <c:v>-0.13083175363211419</c:v>
                </c:pt>
                <c:pt idx="392">
                  <c:v>-0.13313390586647467</c:v>
                </c:pt>
                <c:pt idx="393">
                  <c:v>-0.11265741205867075</c:v>
                </c:pt>
                <c:pt idx="394">
                  <c:v>-0.11837682151590978</c:v>
                </c:pt>
                <c:pt idx="395">
                  <c:v>-0.10592250631879863</c:v>
                </c:pt>
                <c:pt idx="396">
                  <c:v>-0.1207535260499113</c:v>
                </c:pt>
                <c:pt idx="397">
                  <c:v>-0.11280561500697017</c:v>
                </c:pt>
                <c:pt idx="398">
                  <c:v>-0.11283038668132572</c:v>
                </c:pt>
                <c:pt idx="399">
                  <c:v>-0.11171623079910453</c:v>
                </c:pt>
                <c:pt idx="400">
                  <c:v>-0.11634639841442251</c:v>
                </c:pt>
                <c:pt idx="401">
                  <c:v>-0.11751000273472523</c:v>
                </c:pt>
                <c:pt idx="402">
                  <c:v>-0.11639570448655945</c:v>
                </c:pt>
                <c:pt idx="403">
                  <c:v>-0.11642038125028531</c:v>
                </c:pt>
                <c:pt idx="404">
                  <c:v>-0.11986184068374139</c:v>
                </c:pt>
                <c:pt idx="405">
                  <c:v>-0.11760168640302959</c:v>
                </c:pt>
                <c:pt idx="406">
                  <c:v>-0.11916030876420491</c:v>
                </c:pt>
                <c:pt idx="407">
                  <c:v>-0.11799980564530799</c:v>
                </c:pt>
                <c:pt idx="408">
                  <c:v>-0.11802445584839705</c:v>
                </c:pt>
                <c:pt idx="409">
                  <c:v>-0.11804910605148633</c:v>
                </c:pt>
                <c:pt idx="410">
                  <c:v>-0.11338263298975615</c:v>
                </c:pt>
                <c:pt idx="411">
                  <c:v>-0.11222227208356939</c:v>
                </c:pt>
                <c:pt idx="412">
                  <c:v>-9.0915157979878702E-2</c:v>
                </c:pt>
                <c:pt idx="413">
                  <c:v>-7.7904354151274724E-2</c:v>
                </c:pt>
                <c:pt idx="414">
                  <c:v>-5.3042870379070184E-2</c:v>
                </c:pt>
                <c:pt idx="415">
                  <c:v>-6.141782428285858E-2</c:v>
                </c:pt>
                <c:pt idx="416">
                  <c:v>-7.0924886167754719E-2</c:v>
                </c:pt>
                <c:pt idx="417">
                  <c:v>-7.0950863689471677E-2</c:v>
                </c:pt>
                <c:pt idx="418">
                  <c:v>-5.4385358362696756E-2</c:v>
                </c:pt>
                <c:pt idx="419">
                  <c:v>-2.0043738312047421E-2</c:v>
                </c:pt>
                <c:pt idx="420">
                  <c:v>-5.9045240327989523E-3</c:v>
                </c:pt>
                <c:pt idx="421">
                  <c:v>-1.9406056519824522E-2</c:v>
                </c:pt>
                <c:pt idx="422">
                  <c:v>-2.7018134042239406E-2</c:v>
                </c:pt>
                <c:pt idx="423">
                  <c:v>-2.4329318331812733E-2</c:v>
                </c:pt>
                <c:pt idx="424">
                  <c:v>-1.7340748734844147E-2</c:v>
                </c:pt>
                <c:pt idx="425">
                  <c:v>-2.0753569352542245E-2</c:v>
                </c:pt>
                <c:pt idx="426">
                  <c:v>-2.2169770924252874E-2</c:v>
                </c:pt>
                <c:pt idx="427">
                  <c:v>-4.2106855182788339E-2</c:v>
                </c:pt>
                <c:pt idx="428">
                  <c:v>-2.8386409930636014E-2</c:v>
                </c:pt>
                <c:pt idx="429">
                  <c:v>-2.8887614925370619E-2</c:v>
                </c:pt>
                <c:pt idx="430">
                  <c:v>-4.019442606119783E-2</c:v>
                </c:pt>
                <c:pt idx="431">
                  <c:v>-3.9601877358898752E-2</c:v>
                </c:pt>
                <c:pt idx="432">
                  <c:v>-3.673855255386449E-2</c:v>
                </c:pt>
                <c:pt idx="433">
                  <c:v>-3.5526783851768662E-2</c:v>
                </c:pt>
                <c:pt idx="434">
                  <c:v>-1.6768150188104403E-2</c:v>
                </c:pt>
                <c:pt idx="435">
                  <c:v>-9.0989135524035536E-3</c:v>
                </c:pt>
                <c:pt idx="436">
                  <c:v>9.0397685245333648E-3</c:v>
                </c:pt>
                <c:pt idx="437">
                  <c:v>2.2407040901362363E-2</c:v>
                </c:pt>
                <c:pt idx="438">
                  <c:v>2.5314594029901771E-2</c:v>
                </c:pt>
                <c:pt idx="439">
                  <c:v>4.4061423216285478E-2</c:v>
                </c:pt>
                <c:pt idx="440">
                  <c:v>3.553072224985776E-2</c:v>
                </c:pt>
                <c:pt idx="441">
                  <c:v>4.2159480152322182E-2</c:v>
                </c:pt>
                <c:pt idx="442">
                  <c:v>4.9664921278754326E-2</c:v>
                </c:pt>
                <c:pt idx="443">
                  <c:v>4.2999043579105667E-2</c:v>
                </c:pt>
                <c:pt idx="444">
                  <c:v>2.8355981818726894E-2</c:v>
                </c:pt>
                <c:pt idx="445">
                  <c:v>3.3971430962004279E-2</c:v>
                </c:pt>
                <c:pt idx="446">
                  <c:v>3.3496992539372439E-2</c:v>
                </c:pt>
                <c:pt idx="447">
                  <c:v>3.4300563744760204E-4</c:v>
                </c:pt>
                <c:pt idx="448">
                  <c:v>3.1520638426330017E-4</c:v>
                </c:pt>
                <c:pt idx="449">
                  <c:v>-1.2936463783313701E-2</c:v>
                </c:pt>
                <c:pt idx="450">
                  <c:v>2.2762267718980933E-3</c:v>
                </c:pt>
                <c:pt idx="451">
                  <c:v>-7.1192200012250018E-3</c:v>
                </c:pt>
                <c:pt idx="452">
                  <c:v>-5.3903348447399413E-3</c:v>
                </c:pt>
                <c:pt idx="453">
                  <c:v>-1.0394497043643036E-2</c:v>
                </c:pt>
                <c:pt idx="454">
                  <c:v>-1.7943670464112604E-2</c:v>
                </c:pt>
                <c:pt idx="455">
                  <c:v>-1.4512656463186779E-2</c:v>
                </c:pt>
                <c:pt idx="456">
                  <c:v>-9.8562092254026457E-3</c:v>
                </c:pt>
                <c:pt idx="457">
                  <c:v>-8.2703539502512191E-3</c:v>
                </c:pt>
                <c:pt idx="458">
                  <c:v>-1.3067396942080256E-3</c:v>
                </c:pt>
                <c:pt idx="459">
                  <c:v>-8.86336239811647E-3</c:v>
                </c:pt>
                <c:pt idx="460">
                  <c:v>5.0363587392456832E-3</c:v>
                </c:pt>
                <c:pt idx="461">
                  <c:v>6.890699973947978E-3</c:v>
                </c:pt>
                <c:pt idx="462">
                  <c:v>1.9927017589910223E-2</c:v>
                </c:pt>
                <c:pt idx="463">
                  <c:v>1.0702609043123701E-2</c:v>
                </c:pt>
                <c:pt idx="464">
                  <c:v>1.4417018854479657E-2</c:v>
                </c:pt>
                <c:pt idx="465">
                  <c:v>2.6882376944643349E-2</c:v>
                </c:pt>
                <c:pt idx="466">
                  <c:v>2.2282756690185312E-2</c:v>
                </c:pt>
                <c:pt idx="467">
                  <c:v>1.5320459991680302E-2</c:v>
                </c:pt>
                <c:pt idx="468">
                  <c:v>1.5292253504792797E-2</c:v>
                </c:pt>
                <c:pt idx="469">
                  <c:v>3.1225073479170362E-2</c:v>
                </c:pt>
                <c:pt idx="470">
                  <c:v>3.2345669609794347E-2</c:v>
                </c:pt>
                <c:pt idx="471">
                  <c:v>3.6477153604284274E-2</c:v>
                </c:pt>
                <c:pt idx="472">
                  <c:v>1.0554773709562371E-2</c:v>
                </c:pt>
                <c:pt idx="473">
                  <c:v>1.7481577021326578E-2</c:v>
                </c:pt>
                <c:pt idx="474">
                  <c:v>2.5144464774022435E-2</c:v>
                </c:pt>
                <c:pt idx="475">
                  <c:v>2.9924697966918323E-2</c:v>
                </c:pt>
                <c:pt idx="476">
                  <c:v>3.1836796621862451E-2</c:v>
                </c:pt>
                <c:pt idx="477">
                  <c:v>3.8201621310230749E-2</c:v>
                </c:pt>
                <c:pt idx="478">
                  <c:v>4.5902126675085642E-2</c:v>
                </c:pt>
                <c:pt idx="479">
                  <c:v>3.8903933255899581E-2</c:v>
                </c:pt>
                <c:pt idx="480">
                  <c:v>2.8599530861806333E-2</c:v>
                </c:pt>
                <c:pt idx="481">
                  <c:v>3.2233946108348954E-2</c:v>
                </c:pt>
                <c:pt idx="482">
                  <c:v>1.4639470966985035E-2</c:v>
                </c:pt>
                <c:pt idx="483">
                  <c:v>1.0511939645109436E-2</c:v>
                </c:pt>
                <c:pt idx="484">
                  <c:v>5.0840596999111032E-3</c:v>
                </c:pt>
                <c:pt idx="485">
                  <c:v>-9.7886642348776753E-3</c:v>
                </c:pt>
                <c:pt idx="486">
                  <c:v>3.3813720267377168E-3</c:v>
                </c:pt>
                <c:pt idx="487">
                  <c:v>2.5248251823219992E-3</c:v>
                </c:pt>
                <c:pt idx="488">
                  <c:v>6.2174280719760056E-3</c:v>
                </c:pt>
                <c:pt idx="489">
                  <c:v>1.4525031683675582E-2</c:v>
                </c:pt>
                <c:pt idx="490">
                  <c:v>9.5195726004626557E-4</c:v>
                </c:pt>
                <c:pt idx="491">
                  <c:v>4.4856465772467047E-3</c:v>
                </c:pt>
                <c:pt idx="492">
                  <c:v>-5.7820793172141949E-3</c:v>
                </c:pt>
                <c:pt idx="493">
                  <c:v>6.154050865500027E-3</c:v>
                </c:pt>
                <c:pt idx="494">
                  <c:v>2.9549544403486339E-2</c:v>
                </c:pt>
                <c:pt idx="495">
                  <c:v>3.7349456810814807E-2</c:v>
                </c:pt>
                <c:pt idx="496">
                  <c:v>3.1362191586527866E-2</c:v>
                </c:pt>
                <c:pt idx="497">
                  <c:v>3.156313002384814E-2</c:v>
                </c:pt>
                <c:pt idx="498">
                  <c:v>3.765315605615438E-2</c:v>
                </c:pt>
                <c:pt idx="499">
                  <c:v>4.1517624452382496E-2</c:v>
                </c:pt>
                <c:pt idx="500">
                  <c:v>4.1430989643556959E-2</c:v>
                </c:pt>
                <c:pt idx="501">
                  <c:v>3.3161640912334533E-2</c:v>
                </c:pt>
                <c:pt idx="502">
                  <c:v>6.5207502349332369E-2</c:v>
                </c:pt>
                <c:pt idx="503">
                  <c:v>5.391484704560856E-2</c:v>
                </c:pt>
                <c:pt idx="504">
                  <c:v>4.3700766466897134E-2</c:v>
                </c:pt>
                <c:pt idx="505">
                  <c:v>4.5558248171380766E-2</c:v>
                </c:pt>
                <c:pt idx="506">
                  <c:v>4.8746718925096966E-2</c:v>
                </c:pt>
                <c:pt idx="507">
                  <c:v>4.8734985138841669E-2</c:v>
                </c:pt>
                <c:pt idx="508">
                  <c:v>3.9742088285906085E-2</c:v>
                </c:pt>
                <c:pt idx="509">
                  <c:v>3.4391269569267191E-2</c:v>
                </c:pt>
                <c:pt idx="510">
                  <c:v>2.3042024739425848E-2</c:v>
                </c:pt>
                <c:pt idx="511">
                  <c:v>1.8575101744376266E-2</c:v>
                </c:pt>
                <c:pt idx="512">
                  <c:v>1.376868402946152E-2</c:v>
                </c:pt>
                <c:pt idx="513">
                  <c:v>-1.7385407601028469E-2</c:v>
                </c:pt>
                <c:pt idx="514">
                  <c:v>-2.3383967201283218E-2</c:v>
                </c:pt>
                <c:pt idx="515">
                  <c:v>-3.080786148383674E-2</c:v>
                </c:pt>
                <c:pt idx="516">
                  <c:v>-3.3267572227414055E-2</c:v>
                </c:pt>
                <c:pt idx="517">
                  <c:v>-3.3428431881004195E-2</c:v>
                </c:pt>
                <c:pt idx="518">
                  <c:v>-3.0651850699625394E-2</c:v>
                </c:pt>
                <c:pt idx="519">
                  <c:v>-3.0457430094220084E-2</c:v>
                </c:pt>
                <c:pt idx="520">
                  <c:v>-3.0661844875812694E-2</c:v>
                </c:pt>
                <c:pt idx="521">
                  <c:v>-2.8592563400703264E-2</c:v>
                </c:pt>
                <c:pt idx="522">
                  <c:v>-3.3853057324349956E-2</c:v>
                </c:pt>
                <c:pt idx="523">
                  <c:v>-2.9724467376216035E-2</c:v>
                </c:pt>
                <c:pt idx="524">
                  <c:v>-1.9088461806360923E-2</c:v>
                </c:pt>
                <c:pt idx="525">
                  <c:v>-1.4607090143278434E-2</c:v>
                </c:pt>
                <c:pt idx="526">
                  <c:v>-1.8150533780109779E-2</c:v>
                </c:pt>
                <c:pt idx="527">
                  <c:v>-2.5117490939525755E-2</c:v>
                </c:pt>
                <c:pt idx="528">
                  <c:v>-3.1028114493793946E-2</c:v>
                </c:pt>
                <c:pt idx="529">
                  <c:v>-3.5306066558082105E-2</c:v>
                </c:pt>
                <c:pt idx="530">
                  <c:v>-3.5409671439616486E-2</c:v>
                </c:pt>
                <c:pt idx="531">
                  <c:v>-2.5102774938572048E-2</c:v>
                </c:pt>
                <c:pt idx="532">
                  <c:v>-2.9056932633674926E-2</c:v>
                </c:pt>
                <c:pt idx="533">
                  <c:v>-2.9955561526444074E-2</c:v>
                </c:pt>
                <c:pt idx="534">
                  <c:v>-3.975364435422668E-2</c:v>
                </c:pt>
                <c:pt idx="535">
                  <c:v>-3.9856931624229652E-2</c:v>
                </c:pt>
                <c:pt idx="536">
                  <c:v>-4.4158259897227103E-2</c:v>
                </c:pt>
                <c:pt idx="537">
                  <c:v>-2.8921820688228239E-2</c:v>
                </c:pt>
                <c:pt idx="538">
                  <c:v>-2.9331327822680553E-2</c:v>
                </c:pt>
                <c:pt idx="539">
                  <c:v>-3.2008581291147253E-2</c:v>
                </c:pt>
                <c:pt idx="540">
                  <c:v>-1.6829036894468796E-2</c:v>
                </c:pt>
                <c:pt idx="541">
                  <c:v>-2.1698148715053378E-2</c:v>
                </c:pt>
                <c:pt idx="542">
                  <c:v>-2.5252221751134729E-2</c:v>
                </c:pt>
                <c:pt idx="543">
                  <c:v>-2.5337892168197595E-2</c:v>
                </c:pt>
                <c:pt idx="544">
                  <c:v>-2.8484575480036023E-2</c:v>
                </c:pt>
                <c:pt idx="545">
                  <c:v>-2.6236436364558524E-2</c:v>
                </c:pt>
                <c:pt idx="546">
                  <c:v>-2.7859325419371972E-2</c:v>
                </c:pt>
                <c:pt idx="547">
                  <c:v>-2.7758600215722073E-2</c:v>
                </c:pt>
                <c:pt idx="548">
                  <c:v>-4.8884912358939325E-2</c:v>
                </c:pt>
                <c:pt idx="549">
                  <c:v>-4.5376702427988413E-2</c:v>
                </c:pt>
                <c:pt idx="550">
                  <c:v>-3.2739151335615113E-2</c:v>
                </c:pt>
                <c:pt idx="551">
                  <c:v>-3.9938790702915949E-2</c:v>
                </c:pt>
                <c:pt idx="552">
                  <c:v>-3.9188528743502871E-2</c:v>
                </c:pt>
                <c:pt idx="553">
                  <c:v>-3.9225985730103163E-2</c:v>
                </c:pt>
                <c:pt idx="554">
                  <c:v>-2.8998238022676981E-2</c:v>
                </c:pt>
                <c:pt idx="555">
                  <c:v>-2.2335722103134614E-2</c:v>
                </c:pt>
                <c:pt idx="556">
                  <c:v>-2.1124372896574206E-2</c:v>
                </c:pt>
                <c:pt idx="557">
                  <c:v>-2.5719004831745051E-2</c:v>
                </c:pt>
                <c:pt idx="558">
                  <c:v>-2.5756842952182613E-2</c:v>
                </c:pt>
                <c:pt idx="559">
                  <c:v>-2.3610699486480535E-2</c:v>
                </c:pt>
                <c:pt idx="560">
                  <c:v>-2.70002920975142E-2</c:v>
                </c:pt>
                <c:pt idx="561">
                  <c:v>-2.6766551184524756E-2</c:v>
                </c:pt>
                <c:pt idx="562">
                  <c:v>-2.9175846391021554E-2</c:v>
                </c:pt>
                <c:pt idx="563">
                  <c:v>-1.6369368312161181E-2</c:v>
                </c:pt>
                <c:pt idx="564">
                  <c:v>-4.6135068308837957E-3</c:v>
                </c:pt>
                <c:pt idx="565">
                  <c:v>-4.7287998167726553E-3</c:v>
                </c:pt>
                <c:pt idx="566">
                  <c:v>2.7644030615925352E-4</c:v>
                </c:pt>
                <c:pt idx="567">
                  <c:v>2.9566369748166288E-3</c:v>
                </c:pt>
                <c:pt idx="568">
                  <c:v>7.2224290331257546E-3</c:v>
                </c:pt>
                <c:pt idx="569">
                  <c:v>8.1328288965671902E-3</c:v>
                </c:pt>
                <c:pt idx="570">
                  <c:v>9.7091419883823527E-3</c:v>
                </c:pt>
                <c:pt idx="571">
                  <c:v>8.838950979815019E-3</c:v>
                </c:pt>
                <c:pt idx="572">
                  <c:v>3.4796670400472074E-3</c:v>
                </c:pt>
                <c:pt idx="573">
                  <c:v>-1.2621642651070575E-3</c:v>
                </c:pt>
                <c:pt idx="574">
                  <c:v>2.6047937470741189E-3</c:v>
                </c:pt>
                <c:pt idx="575">
                  <c:v>1.0425930441487097E-2</c:v>
                </c:pt>
                <c:pt idx="576">
                  <c:v>1.4403940481568567E-2</c:v>
                </c:pt>
                <c:pt idx="577">
                  <c:v>4.0660048423835082E-3</c:v>
                </c:pt>
                <c:pt idx="578">
                  <c:v>1.2139601830492008E-2</c:v>
                </c:pt>
                <c:pt idx="579">
                  <c:v>1.3451018109259749E-2</c:v>
                </c:pt>
                <c:pt idx="580">
                  <c:v>1.0833832817556788E-2</c:v>
                </c:pt>
                <c:pt idx="581">
                  <c:v>2.3698636576546361E-2</c:v>
                </c:pt>
                <c:pt idx="582">
                  <c:v>3.0392131682420054E-2</c:v>
                </c:pt>
                <c:pt idx="583">
                  <c:v>2.6744466931591937E-2</c:v>
                </c:pt>
                <c:pt idx="584">
                  <c:v>2.9665791388690632E-2</c:v>
                </c:pt>
                <c:pt idx="585">
                  <c:v>2.5092891362904046E-2</c:v>
                </c:pt>
                <c:pt idx="586">
                  <c:v>2.6140543560171814E-2</c:v>
                </c:pt>
                <c:pt idx="587">
                  <c:v>1.8590010965508608E-2</c:v>
                </c:pt>
                <c:pt idx="588">
                  <c:v>1.5929128462334852E-2</c:v>
                </c:pt>
                <c:pt idx="589">
                  <c:v>1.881590153424173E-2</c:v>
                </c:pt>
                <c:pt idx="590">
                  <c:v>2.1974865966690738E-2</c:v>
                </c:pt>
                <c:pt idx="591">
                  <c:v>1.6685271493782183E-2</c:v>
                </c:pt>
                <c:pt idx="592">
                  <c:v>2.4945375336827613E-2</c:v>
                </c:pt>
                <c:pt idx="593">
                  <c:v>2.7889946972422308E-2</c:v>
                </c:pt>
                <c:pt idx="594">
                  <c:v>2.9444643166944839E-2</c:v>
                </c:pt>
                <c:pt idx="595">
                  <c:v>2.5916830599748808E-2</c:v>
                </c:pt>
                <c:pt idx="596">
                  <c:v>2.1145874678565768E-2</c:v>
                </c:pt>
                <c:pt idx="597">
                  <c:v>1.9297888518538198E-2</c:v>
                </c:pt>
                <c:pt idx="598">
                  <c:v>1.9269453793133717E-2</c:v>
                </c:pt>
                <c:pt idx="599">
                  <c:v>2.2725192364384528E-2</c:v>
                </c:pt>
                <c:pt idx="600">
                  <c:v>3.277236740432099E-2</c:v>
                </c:pt>
                <c:pt idx="601">
                  <c:v>6.0722117933298403E-2</c:v>
                </c:pt>
                <c:pt idx="602">
                  <c:v>5.5255447161966176E-2</c:v>
                </c:pt>
                <c:pt idx="603">
                  <c:v>5.0717221909560406E-2</c:v>
                </c:pt>
                <c:pt idx="604">
                  <c:v>5.0754195969969551E-2</c:v>
                </c:pt>
                <c:pt idx="605">
                  <c:v>6.5032439418156951E-2</c:v>
                </c:pt>
                <c:pt idx="606">
                  <c:v>7.526419138129592E-2</c:v>
                </c:pt>
                <c:pt idx="607">
                  <c:v>7.5234284430910847E-2</c:v>
                </c:pt>
                <c:pt idx="608">
                  <c:v>7.5204377480526219E-2</c:v>
                </c:pt>
                <c:pt idx="609">
                  <c:v>7.7425336797647404E-2</c:v>
                </c:pt>
                <c:pt idx="610">
                  <c:v>5.9924160166098694E-2</c:v>
                </c:pt>
                <c:pt idx="611">
                  <c:v>3.6657595455082514E-2</c:v>
                </c:pt>
                <c:pt idx="612">
                  <c:v>5.1524279254117511E-2</c:v>
                </c:pt>
                <c:pt idx="613">
                  <c:v>5.7784232630429644E-2</c:v>
                </c:pt>
                <c:pt idx="614">
                  <c:v>3.6702414504137471E-2</c:v>
                </c:pt>
                <c:pt idx="615">
                  <c:v>4.9657685025368714E-2</c:v>
                </c:pt>
                <c:pt idx="616">
                  <c:v>5.9625007909205774E-2</c:v>
                </c:pt>
                <c:pt idx="617">
                  <c:v>8.4553816480181787E-2</c:v>
                </c:pt>
                <c:pt idx="618">
                  <c:v>8.4126413554483248E-2</c:v>
                </c:pt>
                <c:pt idx="619">
                  <c:v>0.1175946577721636</c:v>
                </c:pt>
                <c:pt idx="620">
                  <c:v>0.12505961978051983</c:v>
                </c:pt>
                <c:pt idx="621">
                  <c:v>0.13194029249085548</c:v>
                </c:pt>
                <c:pt idx="622">
                  <c:v>0.13190570092045695</c:v>
                </c:pt>
                <c:pt idx="623">
                  <c:v>0.12630542189652205</c:v>
                </c:pt>
                <c:pt idx="624">
                  <c:v>0.1474728045995477</c:v>
                </c:pt>
                <c:pt idx="625">
                  <c:v>0.13911341646100928</c:v>
                </c:pt>
                <c:pt idx="626">
                  <c:v>0.13077087886963557</c:v>
                </c:pt>
                <c:pt idx="627">
                  <c:v>0.16376299278720263</c:v>
                </c:pt>
                <c:pt idx="628">
                  <c:v>0.16411885703335938</c:v>
                </c:pt>
                <c:pt idx="629">
                  <c:v>0.16388757789152852</c:v>
                </c:pt>
                <c:pt idx="630">
                  <c:v>0.16886925330149793</c:v>
                </c:pt>
                <c:pt idx="631">
                  <c:v>0.16247297674034189</c:v>
                </c:pt>
                <c:pt idx="632">
                  <c:v>0.186509649477961</c:v>
                </c:pt>
                <c:pt idx="633">
                  <c:v>0.19150473095623188</c:v>
                </c:pt>
                <c:pt idx="634">
                  <c:v>0.20229754555688984</c:v>
                </c:pt>
                <c:pt idx="635">
                  <c:v>0.19582181113105546</c:v>
                </c:pt>
                <c:pt idx="636">
                  <c:v>0.19617666421390978</c:v>
                </c:pt>
                <c:pt idx="637">
                  <c:v>0.19614009924416242</c:v>
                </c:pt>
                <c:pt idx="638">
                  <c:v>0.21658774569388162</c:v>
                </c:pt>
                <c:pt idx="639">
                  <c:v>0.19684918566462084</c:v>
                </c:pt>
                <c:pt idx="640">
                  <c:v>0.21536512938931618</c:v>
                </c:pt>
                <c:pt idx="641">
                  <c:v>0.17675208099099726</c:v>
                </c:pt>
                <c:pt idx="642">
                  <c:v>0.18268946881273473</c:v>
                </c:pt>
                <c:pt idx="643">
                  <c:v>0.20522506962771314</c:v>
                </c:pt>
                <c:pt idx="644">
                  <c:v>0.22554194982969245</c:v>
                </c:pt>
                <c:pt idx="645">
                  <c:v>0.22542953130316845</c:v>
                </c:pt>
                <c:pt idx="646">
                  <c:v>0.23478107939780624</c:v>
                </c:pt>
                <c:pt idx="647">
                  <c:v>0.23597790892831871</c:v>
                </c:pt>
                <c:pt idx="648">
                  <c:v>0.21745990614565636</c:v>
                </c:pt>
                <c:pt idx="649">
                  <c:v>0.2354218035286848</c:v>
                </c:pt>
                <c:pt idx="650">
                  <c:v>0.22793469465232707</c:v>
                </c:pt>
                <c:pt idx="651">
                  <c:v>0.24210436030246085</c:v>
                </c:pt>
                <c:pt idx="652">
                  <c:v>0.25367443261320721</c:v>
                </c:pt>
                <c:pt idx="653">
                  <c:v>0.30334491308619516</c:v>
                </c:pt>
                <c:pt idx="654">
                  <c:v>0.21062204987664157</c:v>
                </c:pt>
                <c:pt idx="655">
                  <c:v>0.21051088727769618</c:v>
                </c:pt>
                <c:pt idx="656">
                  <c:v>0.22688099732396338</c:v>
                </c:pt>
                <c:pt idx="657">
                  <c:v>0.21660928402544921</c:v>
                </c:pt>
                <c:pt idx="658">
                  <c:v>0.19756571591125383</c:v>
                </c:pt>
                <c:pt idx="659">
                  <c:v>0.18112187109418243</c:v>
                </c:pt>
                <c:pt idx="660">
                  <c:v>0.16606820043025228</c:v>
                </c:pt>
                <c:pt idx="661">
                  <c:v>0.19462318034969295</c:v>
                </c:pt>
                <c:pt idx="662">
                  <c:v>0.16901011869256433</c:v>
                </c:pt>
                <c:pt idx="663">
                  <c:v>0.10139627605873081</c:v>
                </c:pt>
                <c:pt idx="664">
                  <c:v>0.14587603335054022</c:v>
                </c:pt>
                <c:pt idx="665">
                  <c:v>0.13885155777176594</c:v>
                </c:pt>
                <c:pt idx="666">
                  <c:v>0.13995376182531594</c:v>
                </c:pt>
                <c:pt idx="667">
                  <c:v>0.17646941661328963</c:v>
                </c:pt>
                <c:pt idx="668">
                  <c:v>0.19608946100233138</c:v>
                </c:pt>
                <c:pt idx="669">
                  <c:v>0.19735239028662299</c:v>
                </c:pt>
                <c:pt idx="670">
                  <c:v>0.19724231608372156</c:v>
                </c:pt>
                <c:pt idx="671">
                  <c:v>0.18550942297373041</c:v>
                </c:pt>
                <c:pt idx="672">
                  <c:v>0.18157435144359391</c:v>
                </c:pt>
                <c:pt idx="673">
                  <c:v>0.16789256338137859</c:v>
                </c:pt>
                <c:pt idx="674">
                  <c:v>0.15583565314460635</c:v>
                </c:pt>
                <c:pt idx="675">
                  <c:v>0.16385167376421439</c:v>
                </c:pt>
                <c:pt idx="676">
                  <c:v>0.14286028284912122</c:v>
                </c:pt>
                <c:pt idx="677">
                  <c:v>0.20764163163486105</c:v>
                </c:pt>
                <c:pt idx="678">
                  <c:v>0.14668692089278101</c:v>
                </c:pt>
                <c:pt idx="679">
                  <c:v>0.12748296868690256</c:v>
                </c:pt>
                <c:pt idx="680">
                  <c:v>0.10691077269593441</c:v>
                </c:pt>
                <c:pt idx="681">
                  <c:v>0.12182494997434024</c:v>
                </c:pt>
                <c:pt idx="682">
                  <c:v>0.15168077434772553</c:v>
                </c:pt>
                <c:pt idx="683">
                  <c:v>0.14059900198754138</c:v>
                </c:pt>
                <c:pt idx="684">
                  <c:v>0.14641207652458665</c:v>
                </c:pt>
                <c:pt idx="685">
                  <c:v>0.14630646961888094</c:v>
                </c:pt>
                <c:pt idx="686">
                  <c:v>0.12239153321648755</c:v>
                </c:pt>
                <c:pt idx="687">
                  <c:v>0.1290173959276717</c:v>
                </c:pt>
                <c:pt idx="688">
                  <c:v>0.15109835250643</c:v>
                </c:pt>
                <c:pt idx="689">
                  <c:v>9.1932217603759803E-2</c:v>
                </c:pt>
                <c:pt idx="690">
                  <c:v>-5.8399123322278035E-2</c:v>
                </c:pt>
                <c:pt idx="691">
                  <c:v>-2.1781565424091931E-2</c:v>
                </c:pt>
                <c:pt idx="692">
                  <c:v>3.5618014401546105E-3</c:v>
                </c:pt>
                <c:pt idx="693">
                  <c:v>-6.5380914858553796E-3</c:v>
                </c:pt>
                <c:pt idx="694">
                  <c:v>5.0561812873156198E-2</c:v>
                </c:pt>
                <c:pt idx="695">
                  <c:v>4.4950237806711479E-2</c:v>
                </c:pt>
                <c:pt idx="696">
                  <c:v>2.8351320920440459E-2</c:v>
                </c:pt>
                <c:pt idx="697">
                  <c:v>2.8322470302915237E-2</c:v>
                </c:pt>
                <c:pt idx="698">
                  <c:v>2.684962678457814E-2</c:v>
                </c:pt>
                <c:pt idx="699">
                  <c:v>4.4706242156242526E-2</c:v>
                </c:pt>
                <c:pt idx="700">
                  <c:v>6.8979715709201583E-2</c:v>
                </c:pt>
                <c:pt idx="701">
                  <c:v>5.4953815805182993E-2</c:v>
                </c:pt>
                <c:pt idx="702">
                  <c:v>6.7448911040340676E-2</c:v>
                </c:pt>
                <c:pt idx="703">
                  <c:v>6.9774456002670071E-2</c:v>
                </c:pt>
                <c:pt idx="704">
                  <c:v>1.7355239442827797E-2</c:v>
                </c:pt>
                <c:pt idx="705">
                  <c:v>2.3966003737871944E-3</c:v>
                </c:pt>
                <c:pt idx="706">
                  <c:v>5.6184638454559455E-3</c:v>
                </c:pt>
                <c:pt idx="707">
                  <c:v>1.4089596458641829E-2</c:v>
                </c:pt>
                <c:pt idx="708">
                  <c:v>6.1986764052295307E-3</c:v>
                </c:pt>
                <c:pt idx="709">
                  <c:v>1.2157718895935421E-3</c:v>
                </c:pt>
                <c:pt idx="710">
                  <c:v>2.9759519635557119E-3</c:v>
                </c:pt>
                <c:pt idx="711">
                  <c:v>9.3644143794033852E-3</c:v>
                </c:pt>
                <c:pt idx="712">
                  <c:v>-6.4957648271324331E-4</c:v>
                </c:pt>
                <c:pt idx="713">
                  <c:v>-9.449810819124882E-3</c:v>
                </c:pt>
                <c:pt idx="714">
                  <c:v>-7.1221865330099998E-3</c:v>
                </c:pt>
                <c:pt idx="715">
                  <c:v>-1.6513614857938008E-2</c:v>
                </c:pt>
                <c:pt idx="716">
                  <c:v>-1.6297608854989432E-2</c:v>
                </c:pt>
                <c:pt idx="717">
                  <c:v>-3.9392771854901532E-2</c:v>
                </c:pt>
                <c:pt idx="718">
                  <c:v>-3.5114953039196206E-2</c:v>
                </c:pt>
                <c:pt idx="719">
                  <c:v>-2.9781357571341815E-2</c:v>
                </c:pt>
                <c:pt idx="720">
                  <c:v>-2.9863279679551824E-2</c:v>
                </c:pt>
                <c:pt idx="721">
                  <c:v>-2.0712321901487307E-2</c:v>
                </c:pt>
                <c:pt idx="722">
                  <c:v>2.247105823357276E-2</c:v>
                </c:pt>
                <c:pt idx="723">
                  <c:v>2.4780001095051185E-2</c:v>
                </c:pt>
                <c:pt idx="724">
                  <c:v>2.5969552992314071E-2</c:v>
                </c:pt>
                <c:pt idx="725">
                  <c:v>2.4094337002764643E-3</c:v>
                </c:pt>
                <c:pt idx="726">
                  <c:v>-5.9848126669923563E-3</c:v>
                </c:pt>
                <c:pt idx="727">
                  <c:v>-9.232099120883519E-3</c:v>
                </c:pt>
                <c:pt idx="728">
                  <c:v>-1.0047486449754395E-2</c:v>
                </c:pt>
                <c:pt idx="729">
                  <c:v>-1.6004684116690315E-2</c:v>
                </c:pt>
                <c:pt idx="730">
                  <c:v>-2.2123159334748621E-2</c:v>
                </c:pt>
                <c:pt idx="731">
                  <c:v>-1.3622217665729686E-2</c:v>
                </c:pt>
                <c:pt idx="732">
                  <c:v>-2.1772354669510441E-2</c:v>
                </c:pt>
                <c:pt idx="733">
                  <c:v>-2.1799905709669942E-2</c:v>
                </c:pt>
                <c:pt idx="734">
                  <c:v>-2.1421338822950164E-2</c:v>
                </c:pt>
                <c:pt idx="735">
                  <c:v>-1.7442861408788923E-2</c:v>
                </c:pt>
                <c:pt idx="736">
                  <c:v>-1.8688896187322168E-2</c:v>
                </c:pt>
                <c:pt idx="737">
                  <c:v>-1.4574141841617205E-2</c:v>
                </c:pt>
                <c:pt idx="738">
                  <c:v>-6.2358747693893601E-3</c:v>
                </c:pt>
                <c:pt idx="739">
                  <c:v>2.1021648767998169E-3</c:v>
                </c:pt>
                <c:pt idx="740">
                  <c:v>-2.2079201130343118E-2</c:v>
                </c:pt>
                <c:pt idx="741">
                  <c:v>-2.3739346236556491E-2</c:v>
                </c:pt>
                <c:pt idx="742">
                  <c:v>-2.7015808202314529E-2</c:v>
                </c:pt>
                <c:pt idx="743">
                  <c:v>-3.11044247982456E-2</c:v>
                </c:pt>
                <c:pt idx="744">
                  <c:v>-8.551591677887771E-3</c:v>
                </c:pt>
                <c:pt idx="745">
                  <c:v>-1.8219797492342593E-2</c:v>
                </c:pt>
                <c:pt idx="746">
                  <c:v>-1.946583227087606E-2</c:v>
                </c:pt>
                <c:pt idx="747">
                  <c:v>-5.1982914929666113E-2</c:v>
                </c:pt>
                <c:pt idx="748">
                  <c:v>-5.1603552051809776E-2</c:v>
                </c:pt>
                <c:pt idx="749">
                  <c:v>-5.7713596261705913E-2</c:v>
                </c:pt>
                <c:pt idx="750">
                  <c:v>-7.7693184973772422E-2</c:v>
                </c:pt>
                <c:pt idx="751">
                  <c:v>-7.5932338866410154E-2</c:v>
                </c:pt>
                <c:pt idx="752">
                  <c:v>-0.1050364876912937</c:v>
                </c:pt>
                <c:pt idx="753">
                  <c:v>-0.10506179696049667</c:v>
                </c:pt>
                <c:pt idx="754">
                  <c:v>-0.10352018955478048</c:v>
                </c:pt>
                <c:pt idx="755">
                  <c:v>-9.8154283344663584E-2</c:v>
                </c:pt>
                <c:pt idx="756">
                  <c:v>-9.6555315842955181E-2</c:v>
                </c:pt>
                <c:pt idx="757">
                  <c:v>-8.3585095122783226E-2</c:v>
                </c:pt>
                <c:pt idx="758">
                  <c:v>-8.3611005446518005E-2</c:v>
                </c:pt>
                <c:pt idx="759">
                  <c:v>-9.3383762260068615E-2</c:v>
                </c:pt>
                <c:pt idx="760">
                  <c:v>-9.2404806874967993E-2</c:v>
                </c:pt>
                <c:pt idx="761">
                  <c:v>-8.8369310503872645E-2</c:v>
                </c:pt>
                <c:pt idx="762">
                  <c:v>-9.3349404683454651E-2</c:v>
                </c:pt>
                <c:pt idx="763">
                  <c:v>-4.1635631207318502E-2</c:v>
                </c:pt>
                <c:pt idx="764">
                  <c:v>-4.1825142076717392E-2</c:v>
                </c:pt>
                <c:pt idx="765">
                  <c:v>-4.6779748295208368E-2</c:v>
                </c:pt>
                <c:pt idx="766">
                  <c:v>-4.599446242707772E-2</c:v>
                </c:pt>
                <c:pt idx="767">
                  <c:v>-4.3259826754644459E-2</c:v>
                </c:pt>
                <c:pt idx="768">
                  <c:v>-8.1412250500960237E-2</c:v>
                </c:pt>
                <c:pt idx="769">
                  <c:v>-7.0378838663508692E-2</c:v>
                </c:pt>
                <c:pt idx="770">
                  <c:v>-6.9034052249875688E-2</c:v>
                </c:pt>
                <c:pt idx="771">
                  <c:v>-6.3862075472201907E-2</c:v>
                </c:pt>
                <c:pt idx="772">
                  <c:v>-7.7209222362669139E-2</c:v>
                </c:pt>
                <c:pt idx="773">
                  <c:v>-8.795684089261735E-2</c:v>
                </c:pt>
                <c:pt idx="774">
                  <c:v>-0.10284656987182494</c:v>
                </c:pt>
                <c:pt idx="775">
                  <c:v>-9.3289900284808103E-2</c:v>
                </c:pt>
                <c:pt idx="776">
                  <c:v>-6.2996833106627403E-2</c:v>
                </c:pt>
                <c:pt idx="777">
                  <c:v>-5.132076401696517E-2</c:v>
                </c:pt>
                <c:pt idx="778">
                  <c:v>-4.9780959774844757E-2</c:v>
                </c:pt>
                <c:pt idx="779">
                  <c:v>-6.2485618934247089E-3</c:v>
                </c:pt>
                <c:pt idx="780">
                  <c:v>1.4777625205643519E-2</c:v>
                </c:pt>
                <c:pt idx="781">
                  <c:v>1.3799319609225646E-2</c:v>
                </c:pt>
                <c:pt idx="782">
                  <c:v>1.0536340758639851E-2</c:v>
                </c:pt>
                <c:pt idx="783">
                  <c:v>1.3456783504978587E-2</c:v>
                </c:pt>
                <c:pt idx="784">
                  <c:v>1.5240079811339013E-2</c:v>
                </c:pt>
                <c:pt idx="785">
                  <c:v>1.1560635149097109E-2</c:v>
                </c:pt>
                <c:pt idx="786">
                  <c:v>3.4346540396072989E-3</c:v>
                </c:pt>
                <c:pt idx="787">
                  <c:v>-1.5936707049708509E-3</c:v>
                </c:pt>
                <c:pt idx="788">
                  <c:v>1.5540931971570915E-2</c:v>
                </c:pt>
                <c:pt idx="789">
                  <c:v>2.2061837565732434E-2</c:v>
                </c:pt>
                <c:pt idx="790">
                  <c:v>1.5291478096165045E-2</c:v>
                </c:pt>
                <c:pt idx="791">
                  <c:v>2.1035300104741195E-2</c:v>
                </c:pt>
                <c:pt idx="792">
                  <c:v>2.1031661288116288E-2</c:v>
                </c:pt>
                <c:pt idx="793">
                  <c:v>3.3192775910455996E-2</c:v>
                </c:pt>
                <c:pt idx="794">
                  <c:v>4.1313758796661881E-2</c:v>
                </c:pt>
                <c:pt idx="795">
                  <c:v>4.7096806598665442E-2</c:v>
                </c:pt>
                <c:pt idx="796">
                  <c:v>4.7884570760832634E-2</c:v>
                </c:pt>
                <c:pt idx="797">
                  <c:v>4.7880850720622536E-2</c:v>
                </c:pt>
                <c:pt idx="798">
                  <c:v>4.771868178938532E-2</c:v>
                </c:pt>
                <c:pt idx="799">
                  <c:v>5.9407465277962812E-2</c:v>
                </c:pt>
                <c:pt idx="800">
                  <c:v>5.3061990590878017E-2</c:v>
                </c:pt>
                <c:pt idx="801">
                  <c:v>5.7093002997697706E-2</c:v>
                </c:pt>
                <c:pt idx="802">
                  <c:v>4.309924245417629E-2</c:v>
                </c:pt>
                <c:pt idx="803">
                  <c:v>1.2640527895980247E-2</c:v>
                </c:pt>
                <c:pt idx="804">
                  <c:v>2.9421007079095451E-2</c:v>
                </c:pt>
                <c:pt idx="805">
                  <c:v>-1.4075403287057142E-3</c:v>
                </c:pt>
                <c:pt idx="806">
                  <c:v>-1.1938557519314275E-2</c:v>
                </c:pt>
                <c:pt idx="807">
                  <c:v>-3.0807005861499093E-2</c:v>
                </c:pt>
                <c:pt idx="808">
                  <c:v>-2.674875236372154E-2</c:v>
                </c:pt>
                <c:pt idx="809">
                  <c:v>-1.4605667281767043E-2</c:v>
                </c:pt>
                <c:pt idx="810">
                  <c:v>-7.893508929684212E-3</c:v>
                </c:pt>
                <c:pt idx="811">
                  <c:v>-9.2300756052254851E-4</c:v>
                </c:pt>
                <c:pt idx="812">
                  <c:v>-3.935859419605503E-3</c:v>
                </c:pt>
                <c:pt idx="813">
                  <c:v>-5.9102792734075926E-3</c:v>
                </c:pt>
                <c:pt idx="814">
                  <c:v>-1.6121982345275288E-2</c:v>
                </c:pt>
                <c:pt idx="815">
                  <c:v>-5.0203017018118246E-2</c:v>
                </c:pt>
                <c:pt idx="816">
                  <c:v>-4.944679454081724E-2</c:v>
                </c:pt>
                <c:pt idx="817">
                  <c:v>-4.9450238420837178E-2</c:v>
                </c:pt>
                <c:pt idx="818">
                  <c:v>-4.9453682300857116E-2</c:v>
                </c:pt>
                <c:pt idx="819">
                  <c:v>-4.3119253907670796E-2</c:v>
                </c:pt>
                <c:pt idx="820">
                  <c:v>-5.3244201385719947E-2</c:v>
                </c:pt>
                <c:pt idx="821">
                  <c:v>-4.6609243257445865E-2</c:v>
                </c:pt>
                <c:pt idx="822">
                  <c:v>-3.2444608921084583E-2</c:v>
                </c:pt>
                <c:pt idx="823">
                  <c:v>-2.2753906545209479E-2</c:v>
                </c:pt>
                <c:pt idx="824">
                  <c:v>1.2670642352494044E-2</c:v>
                </c:pt>
                <c:pt idx="825">
                  <c:v>5.074582432973429E-3</c:v>
                </c:pt>
                <c:pt idx="826">
                  <c:v>5.0709761057827762E-3</c:v>
                </c:pt>
                <c:pt idx="827">
                  <c:v>1.4056112360464557E-2</c:v>
                </c:pt>
                <c:pt idx="828">
                  <c:v>8.6011303235897785E-3</c:v>
                </c:pt>
                <c:pt idx="829">
                  <c:v>2.5884735499430711E-3</c:v>
                </c:pt>
                <c:pt idx="830">
                  <c:v>-1.2265980390017472E-2</c:v>
                </c:pt>
                <c:pt idx="831">
                  <c:v>-9.513185927732648E-3</c:v>
                </c:pt>
                <c:pt idx="832">
                  <c:v>-2.2439038378106235E-2</c:v>
                </c:pt>
                <c:pt idx="833">
                  <c:v>-1.8051489715011915E-2</c:v>
                </c:pt>
                <c:pt idx="834">
                  <c:v>-2.7710623959620762E-2</c:v>
                </c:pt>
                <c:pt idx="835">
                  <c:v>-4.6255775774429519E-2</c:v>
                </c:pt>
                <c:pt idx="836">
                  <c:v>-7.0104311798309671E-2</c:v>
                </c:pt>
                <c:pt idx="837">
                  <c:v>-7.1896491219552772E-2</c:v>
                </c:pt>
                <c:pt idx="838">
                  <c:v>-6.6503370283653829E-2</c:v>
                </c:pt>
                <c:pt idx="839">
                  <c:v>-9.5113087085929027E-2</c:v>
                </c:pt>
                <c:pt idx="840">
                  <c:v>-8.7193433896785244E-2</c:v>
                </c:pt>
                <c:pt idx="841">
                  <c:v>-0.1158331646332651</c:v>
                </c:pt>
                <c:pt idx="842">
                  <c:v>-0.10361121612838853</c:v>
                </c:pt>
                <c:pt idx="843">
                  <c:v>-7.2802837121645925E-2</c:v>
                </c:pt>
                <c:pt idx="844">
                  <c:v>-9.7518959575040198E-2</c:v>
                </c:pt>
                <c:pt idx="845">
                  <c:v>-0.10914629007866905</c:v>
                </c:pt>
                <c:pt idx="846">
                  <c:v>-0.11502387191612284</c:v>
                </c:pt>
                <c:pt idx="847">
                  <c:v>-0.12314273281991606</c:v>
                </c:pt>
                <c:pt idx="848">
                  <c:v>-0.10559205647593972</c:v>
                </c:pt>
                <c:pt idx="849">
                  <c:v>-7.6933613176949911E-2</c:v>
                </c:pt>
                <c:pt idx="850">
                  <c:v>-4.8631557443090223E-2</c:v>
                </c:pt>
                <c:pt idx="851">
                  <c:v>-4.8635017567827288E-2</c:v>
                </c:pt>
                <c:pt idx="852">
                  <c:v>-4.754750822542797E-2</c:v>
                </c:pt>
                <c:pt idx="853">
                  <c:v>-4.0982922149793488E-2</c:v>
                </c:pt>
                <c:pt idx="854">
                  <c:v>-4.6379953049387468E-2</c:v>
                </c:pt>
                <c:pt idx="855">
                  <c:v>-4.9792645931903912E-2</c:v>
                </c:pt>
                <c:pt idx="856">
                  <c:v>-4.1880194805586024E-2</c:v>
                </c:pt>
                <c:pt idx="857">
                  <c:v>-4.9565694027408846E-2</c:v>
                </c:pt>
                <c:pt idx="858">
                  <c:v>-5.2223346765369105E-2</c:v>
                </c:pt>
                <c:pt idx="859">
                  <c:v>-6.6319553122611175E-2</c:v>
                </c:pt>
                <c:pt idx="860">
                  <c:v>-6.6329787294368558E-2</c:v>
                </c:pt>
                <c:pt idx="861">
                  <c:v>-6.6333198684954353E-2</c:v>
                </c:pt>
                <c:pt idx="862">
                  <c:v>-5.8855751760194863E-2</c:v>
                </c:pt>
                <c:pt idx="863">
                  <c:v>-6.4130024380360973E-2</c:v>
                </c:pt>
                <c:pt idx="864">
                  <c:v>-8.281690948350795E-2</c:v>
                </c:pt>
                <c:pt idx="865">
                  <c:v>-0.1828243526288621</c:v>
                </c:pt>
                <c:pt idx="866">
                  <c:v>-0.16715861045242808</c:v>
                </c:pt>
                <c:pt idx="867">
                  <c:v>-0.17872661807820067</c:v>
                </c:pt>
                <c:pt idx="868">
                  <c:v>-0.13102149354009496</c:v>
                </c:pt>
                <c:pt idx="869">
                  <c:v>-0.11789046780886403</c:v>
                </c:pt>
                <c:pt idx="870">
                  <c:v>-9.8806093213376855E-2</c:v>
                </c:pt>
                <c:pt idx="871">
                  <c:v>-9.3629022173773002E-2</c:v>
                </c:pt>
                <c:pt idx="872">
                  <c:v>-0.10364994370741853</c:v>
                </c:pt>
                <c:pt idx="873">
                  <c:v>-0.10236334272393999</c:v>
                </c:pt>
                <c:pt idx="874">
                  <c:v>-9.5553755398391615E-2</c:v>
                </c:pt>
                <c:pt idx="875">
                  <c:v>-9.4435229828064737E-2</c:v>
                </c:pt>
                <c:pt idx="876">
                  <c:v>-0.10446431046391635</c:v>
                </c:pt>
                <c:pt idx="877">
                  <c:v>-9.4548055388306906E-2</c:v>
                </c:pt>
                <c:pt idx="878">
                  <c:v>-9.103382993497211E-2</c:v>
                </c:pt>
                <c:pt idx="879">
                  <c:v>-6.3408345808316446E-2</c:v>
                </c:pt>
                <c:pt idx="880">
                  <c:v>-6.0456670743066265E-2</c:v>
                </c:pt>
                <c:pt idx="881">
                  <c:v>-6.1072619065120848E-2</c:v>
                </c:pt>
                <c:pt idx="882">
                  <c:v>-5.6091665772074362E-2</c:v>
                </c:pt>
                <c:pt idx="883">
                  <c:v>-5.6095035624748713E-2</c:v>
                </c:pt>
                <c:pt idx="884">
                  <c:v>-4.6695444858153579E-2</c:v>
                </c:pt>
                <c:pt idx="885">
                  <c:v>-5.3249416199040223E-2</c:v>
                </c:pt>
                <c:pt idx="886">
                  <c:v>-5.4747889706049158E-2</c:v>
                </c:pt>
                <c:pt idx="887">
                  <c:v>-4.7560118054724931E-2</c:v>
                </c:pt>
                <c:pt idx="888">
                  <c:v>-4.0325364349829695E-2</c:v>
                </c:pt>
                <c:pt idx="889">
                  <c:v>-4.077861132382965E-2</c:v>
                </c:pt>
                <c:pt idx="890">
                  <c:v>-4.0788855079525566E-2</c:v>
                </c:pt>
                <c:pt idx="891">
                  <c:v>-1.4187904965175635E-2</c:v>
                </c:pt>
                <c:pt idx="892">
                  <c:v>-4.8263590837671622E-3</c:v>
                </c:pt>
                <c:pt idx="893">
                  <c:v>-5.7409543931874474E-3</c:v>
                </c:pt>
                <c:pt idx="894">
                  <c:v>-1.014871742670953E-2</c:v>
                </c:pt>
                <c:pt idx="895">
                  <c:v>-3.5356467017853332E-2</c:v>
                </c:pt>
                <c:pt idx="896">
                  <c:v>-3.3165196816865472E-2</c:v>
                </c:pt>
                <c:pt idx="897">
                  <c:v>-3.4580857938972476E-2</c:v>
                </c:pt>
                <c:pt idx="898">
                  <c:v>-3.5405088266176832E-2</c:v>
                </c:pt>
                <c:pt idx="899">
                  <c:v>-4.1971332282464191E-2</c:v>
                </c:pt>
                <c:pt idx="900">
                  <c:v>-4.8082718275724634E-2</c:v>
                </c:pt>
                <c:pt idx="901">
                  <c:v>-5.6738468286284816E-2</c:v>
                </c:pt>
                <c:pt idx="902">
                  <c:v>-5.4983326923432108E-2</c:v>
                </c:pt>
                <c:pt idx="903">
                  <c:v>-4.9112382268435506E-2</c:v>
                </c:pt>
                <c:pt idx="904">
                  <c:v>-4.8800073641861341E-2</c:v>
                </c:pt>
                <c:pt idx="905">
                  <c:v>-4.8810272664999599E-2</c:v>
                </c:pt>
                <c:pt idx="906">
                  <c:v>-5.6870852083766632E-2</c:v>
                </c:pt>
                <c:pt idx="907">
                  <c:v>-4.5121553586056518E-2</c:v>
                </c:pt>
                <c:pt idx="908">
                  <c:v>-1.796239488232676E-2</c:v>
                </c:pt>
                <c:pt idx="909">
                  <c:v>-1.8515152338377194E-2</c:v>
                </c:pt>
                <c:pt idx="910">
                  <c:v>-1.3236169722137925E-2</c:v>
                </c:pt>
                <c:pt idx="911">
                  <c:v>-1.1117661693222258E-2</c:v>
                </c:pt>
                <c:pt idx="912">
                  <c:v>6.4738513630053784E-3</c:v>
                </c:pt>
                <c:pt idx="913">
                  <c:v>6.6373850348486751E-3</c:v>
                </c:pt>
                <c:pt idx="914">
                  <c:v>-3.3018948394822889E-3</c:v>
                </c:pt>
                <c:pt idx="915">
                  <c:v>-1.0081988468882086E-2</c:v>
                </c:pt>
                <c:pt idx="916">
                  <c:v>-6.9974383621487224E-3</c:v>
                </c:pt>
                <c:pt idx="917">
                  <c:v>-6.6929371026976936E-3</c:v>
                </c:pt>
                <c:pt idx="918">
                  <c:v>-1.0731498868468581E-2</c:v>
                </c:pt>
                <c:pt idx="919">
                  <c:v>-1.3457322566449159E-2</c:v>
                </c:pt>
                <c:pt idx="920">
                  <c:v>-1.6113816421504445E-2</c:v>
                </c:pt>
                <c:pt idx="921">
                  <c:v>-2.1592802053517213E-3</c:v>
                </c:pt>
                <c:pt idx="922">
                  <c:v>1.2768818943710514E-2</c:v>
                </c:pt>
                <c:pt idx="923">
                  <c:v>2.9027324134114574E-2</c:v>
                </c:pt>
                <c:pt idx="924">
                  <c:v>2.9023715707799491E-2</c:v>
                </c:pt>
                <c:pt idx="925">
                  <c:v>3.9682563936482618E-2</c:v>
                </c:pt>
                <c:pt idx="926">
                  <c:v>5.704980839156315E-2</c:v>
                </c:pt>
                <c:pt idx="927">
                  <c:v>5.8481279878301873E-2</c:v>
                </c:pt>
                <c:pt idx="928">
                  <c:v>6.2976562339745579E-2</c:v>
                </c:pt>
                <c:pt idx="929">
                  <c:v>6.9771370472598182E-2</c:v>
                </c:pt>
                <c:pt idx="930">
                  <c:v>3.6146950043135284E-2</c:v>
                </c:pt>
                <c:pt idx="931">
                  <c:v>5.7895123663287418E-2</c:v>
                </c:pt>
                <c:pt idx="932">
                  <c:v>4.8920562722451821E-2</c:v>
                </c:pt>
                <c:pt idx="933">
                  <c:v>6.6950495693165024E-2</c:v>
                </c:pt>
                <c:pt idx="934">
                  <c:v>6.3231990572916619E-2</c:v>
                </c:pt>
                <c:pt idx="935">
                  <c:v>6.4462580945824355E-2</c:v>
                </c:pt>
                <c:pt idx="936">
                  <c:v>5.7325992764080791E-2</c:v>
                </c:pt>
                <c:pt idx="937">
                  <c:v>5.5791457285646384E-2</c:v>
                </c:pt>
                <c:pt idx="938">
                  <c:v>4.9650925907788412E-2</c:v>
                </c:pt>
                <c:pt idx="939">
                  <c:v>5.3846139002838411E-2</c:v>
                </c:pt>
                <c:pt idx="940">
                  <c:v>5.4425559821740466E-2</c:v>
                </c:pt>
                <c:pt idx="941">
                  <c:v>4.5235852292017098E-2</c:v>
                </c:pt>
                <c:pt idx="942">
                  <c:v>5.5331304648508883E-2</c:v>
                </c:pt>
                <c:pt idx="943">
                  <c:v>5.1176425409582782E-2</c:v>
                </c:pt>
                <c:pt idx="944">
                  <c:v>4.0603214426815804E-2</c:v>
                </c:pt>
                <c:pt idx="945">
                  <c:v>2.7785845582321E-2</c:v>
                </c:pt>
                <c:pt idx="946">
                  <c:v>3.1287763677611213E-2</c:v>
                </c:pt>
                <c:pt idx="947">
                  <c:v>3.3383588378257389E-2</c:v>
                </c:pt>
                <c:pt idx="948">
                  <c:v>4.6900365672053912E-2</c:v>
                </c:pt>
                <c:pt idx="949">
                  <c:v>4.4084868673502253E-2</c:v>
                </c:pt>
                <c:pt idx="950">
                  <c:v>3.75518575627658E-2</c:v>
                </c:pt>
                <c:pt idx="951">
                  <c:v>4.058986921379093E-2</c:v>
                </c:pt>
                <c:pt idx="952">
                  <c:v>3.2273117546097518E-2</c:v>
                </c:pt>
                <c:pt idx="953">
                  <c:v>2.0091786027603975E-2</c:v>
                </c:pt>
                <c:pt idx="954">
                  <c:v>3.0786729210518393E-2</c:v>
                </c:pt>
                <c:pt idx="955">
                  <c:v>2.8551532771168731E-2</c:v>
                </c:pt>
                <c:pt idx="956">
                  <c:v>3.2712510548784213E-2</c:v>
                </c:pt>
                <c:pt idx="957">
                  <c:v>3.6526885559077238E-2</c:v>
                </c:pt>
                <c:pt idx="958">
                  <c:v>3.4719034153560813E-2</c:v>
                </c:pt>
                <c:pt idx="959">
                  <c:v>3.0859568725182696E-2</c:v>
                </c:pt>
                <c:pt idx="960">
                  <c:v>3.4103737823444114E-2</c:v>
                </c:pt>
                <c:pt idx="961">
                  <c:v>3.6256715821881613E-2</c:v>
                </c:pt>
                <c:pt idx="962">
                  <c:v>3.4519929539576832E-2</c:v>
                </c:pt>
                <c:pt idx="963">
                  <c:v>4.2504034997926876E-2</c:v>
                </c:pt>
                <c:pt idx="964">
                  <c:v>4.7593645760961589E-2</c:v>
                </c:pt>
                <c:pt idx="965">
                  <c:v>4.2873883784361189E-2</c:v>
                </c:pt>
                <c:pt idx="966">
                  <c:v>3.3682640436825784E-2</c:v>
                </c:pt>
                <c:pt idx="967">
                  <c:v>3.2285881235872838E-2</c:v>
                </c:pt>
                <c:pt idx="968">
                  <c:v>3.9076626432785533E-2</c:v>
                </c:pt>
                <c:pt idx="969">
                  <c:v>4.7317183643993177E-2</c:v>
                </c:pt>
                <c:pt idx="970">
                  <c:v>4.7306179434817741E-2</c:v>
                </c:pt>
                <c:pt idx="971">
                  <c:v>5.0830448898067093E-2</c:v>
                </c:pt>
                <c:pt idx="972">
                  <c:v>8.4880275327259946E-2</c:v>
                </c:pt>
                <c:pt idx="973">
                  <c:v>8.1928627334153514E-2</c:v>
                </c:pt>
                <c:pt idx="974">
                  <c:v>8.1924854888460574E-2</c:v>
                </c:pt>
                <c:pt idx="975">
                  <c:v>8.5627830919417391E-2</c:v>
                </c:pt>
                <c:pt idx="976">
                  <c:v>7.2206557636147917E-2</c:v>
                </c:pt>
                <c:pt idx="977">
                  <c:v>8.1893079861695028E-2</c:v>
                </c:pt>
                <c:pt idx="978">
                  <c:v>7.4945323387522356E-2</c:v>
                </c:pt>
                <c:pt idx="979">
                  <c:v>8.9572094366197508E-2</c:v>
                </c:pt>
                <c:pt idx="980">
                  <c:v>8.956073229656103E-2</c:v>
                </c:pt>
                <c:pt idx="981">
                  <c:v>8.9556944940015537E-2</c:v>
                </c:pt>
                <c:pt idx="982">
                  <c:v>0.10691471311589096</c:v>
                </c:pt>
                <c:pt idx="983">
                  <c:v>0.12108662853779384</c:v>
                </c:pt>
                <c:pt idx="984">
                  <c:v>0.15306208698314716</c:v>
                </c:pt>
                <c:pt idx="985">
                  <c:v>0.16276759072397895</c:v>
                </c:pt>
                <c:pt idx="986">
                  <c:v>0.17906612175702619</c:v>
                </c:pt>
                <c:pt idx="987">
                  <c:v>0.1757577465277218</c:v>
                </c:pt>
                <c:pt idx="988">
                  <c:v>0.18294790873165834</c:v>
                </c:pt>
                <c:pt idx="989">
                  <c:v>0.18625368947262033</c:v>
                </c:pt>
                <c:pt idx="990">
                  <c:v>0.18374441665270891</c:v>
                </c:pt>
                <c:pt idx="991">
                  <c:v>0.18510601606336974</c:v>
                </c:pt>
                <c:pt idx="992">
                  <c:v>0.1924420809594225</c:v>
                </c:pt>
                <c:pt idx="993">
                  <c:v>0.18655178723662558</c:v>
                </c:pt>
                <c:pt idx="994">
                  <c:v>0.18356147540287981</c:v>
                </c:pt>
                <c:pt idx="995">
                  <c:v>0.18130945952186361</c:v>
                </c:pt>
                <c:pt idx="996">
                  <c:v>0.17399127273800752</c:v>
                </c:pt>
                <c:pt idx="997">
                  <c:v>0.16975301201167081</c:v>
                </c:pt>
                <c:pt idx="998">
                  <c:v>0.1867522934707484</c:v>
                </c:pt>
                <c:pt idx="999">
                  <c:v>0.19034512303398299</c:v>
                </c:pt>
                <c:pt idx="1000">
                  <c:v>0.17021933401404743</c:v>
                </c:pt>
                <c:pt idx="1001">
                  <c:v>0.16502977580642852</c:v>
                </c:pt>
                <c:pt idx="1002">
                  <c:v>0.17184348371625502</c:v>
                </c:pt>
                <c:pt idx="1003">
                  <c:v>0.17924166722399493</c:v>
                </c:pt>
                <c:pt idx="1004">
                  <c:v>0.16019777984275008</c:v>
                </c:pt>
                <c:pt idx="1005">
                  <c:v>0.16018579151730683</c:v>
                </c:pt>
                <c:pt idx="1006">
                  <c:v>0.17217608519304073</c:v>
                </c:pt>
                <c:pt idx="1007">
                  <c:v>0.17068440350481007</c:v>
                </c:pt>
                <c:pt idx="1008">
                  <c:v>0.17532558528851783</c:v>
                </c:pt>
                <c:pt idx="1009">
                  <c:v>0.16243901517737913</c:v>
                </c:pt>
                <c:pt idx="1010">
                  <c:v>0.17198185642783814</c:v>
                </c:pt>
                <c:pt idx="1011">
                  <c:v>0.15793971015560215</c:v>
                </c:pt>
                <c:pt idx="1012">
                  <c:v>0.13907199449713259</c:v>
                </c:pt>
                <c:pt idx="1013">
                  <c:v>0.13941100764051129</c:v>
                </c:pt>
                <c:pt idx="1014">
                  <c:v>0.16630028481891435</c:v>
                </c:pt>
                <c:pt idx="1015">
                  <c:v>0.13951575637961389</c:v>
                </c:pt>
                <c:pt idx="1016">
                  <c:v>0.14277729662108585</c:v>
                </c:pt>
                <c:pt idx="1017">
                  <c:v>0.14258994175890449</c:v>
                </c:pt>
                <c:pt idx="1018">
                  <c:v>0.16104860799960874</c:v>
                </c:pt>
                <c:pt idx="1019">
                  <c:v>0.16866554862498195</c:v>
                </c:pt>
                <c:pt idx="1020">
                  <c:v>0.17326384679678086</c:v>
                </c:pt>
                <c:pt idx="1021">
                  <c:v>0.17291763171162433</c:v>
                </c:pt>
                <c:pt idx="1022">
                  <c:v>0.16531994099688219</c:v>
                </c:pt>
                <c:pt idx="1023">
                  <c:v>0.16815941464632034</c:v>
                </c:pt>
                <c:pt idx="1024">
                  <c:v>0.15897971229865182</c:v>
                </c:pt>
                <c:pt idx="1025">
                  <c:v>0.13982512674814074</c:v>
                </c:pt>
                <c:pt idx="1026">
                  <c:v>0.13252875454155255</c:v>
                </c:pt>
                <c:pt idx="1027">
                  <c:v>0.15709790306453053</c:v>
                </c:pt>
                <c:pt idx="1028">
                  <c:v>0.16887346555281768</c:v>
                </c:pt>
                <c:pt idx="1029">
                  <c:v>0.13139445616703149</c:v>
                </c:pt>
                <c:pt idx="1030">
                  <c:v>0.12626494396259669</c:v>
                </c:pt>
                <c:pt idx="1031">
                  <c:v>0.14835890587457268</c:v>
                </c:pt>
                <c:pt idx="1032">
                  <c:v>0.1463568704364111</c:v>
                </c:pt>
                <c:pt idx="1033">
                  <c:v>0.13197882738897726</c:v>
                </c:pt>
                <c:pt idx="1034">
                  <c:v>0.11255604033380573</c:v>
                </c:pt>
                <c:pt idx="1035">
                  <c:v>0.10285235571698381</c:v>
                </c:pt>
                <c:pt idx="1036">
                  <c:v>7.5069247482993262E-2</c:v>
                </c:pt>
                <c:pt idx="1037">
                  <c:v>7.6198684919585702E-2</c:v>
                </c:pt>
                <c:pt idx="1038">
                  <c:v>7.3332013875112123E-2</c:v>
                </c:pt>
                <c:pt idx="1039">
                  <c:v>7.7533101846063657E-2</c:v>
                </c:pt>
                <c:pt idx="1040">
                  <c:v>7.3823848346186827E-2</c:v>
                </c:pt>
                <c:pt idx="1041">
                  <c:v>7.2686851107355732E-2</c:v>
                </c:pt>
                <c:pt idx="1042">
                  <c:v>7.9661357650987252E-2</c:v>
                </c:pt>
                <c:pt idx="1043">
                  <c:v>8.0910081907910492E-2</c:v>
                </c:pt>
                <c:pt idx="1044">
                  <c:v>7.9623946321961236E-2</c:v>
                </c:pt>
                <c:pt idx="1045">
                  <c:v>6.455262318561994E-2</c:v>
                </c:pt>
                <c:pt idx="1046">
                  <c:v>4.8754604739826179E-2</c:v>
                </c:pt>
                <c:pt idx="1047">
                  <c:v>4.3293519907430911E-2</c:v>
                </c:pt>
                <c:pt idx="1048">
                  <c:v>5.8528713313200642E-2</c:v>
                </c:pt>
                <c:pt idx="1049">
                  <c:v>4.5164861723067995E-2</c:v>
                </c:pt>
                <c:pt idx="1050">
                  <c:v>4.4915194408116532E-2</c:v>
                </c:pt>
                <c:pt idx="1051">
                  <c:v>5.421586850245208E-2</c:v>
                </c:pt>
                <c:pt idx="1052">
                  <c:v>5.8685396551704461E-2</c:v>
                </c:pt>
                <c:pt idx="1053">
                  <c:v>5.8681653927716404E-2</c:v>
                </c:pt>
                <c:pt idx="1054">
                  <c:v>5.4801089642992906E-2</c:v>
                </c:pt>
                <c:pt idx="1055">
                  <c:v>5.3298821249457617E-2</c:v>
                </c:pt>
                <c:pt idx="1056">
                  <c:v>5.8394605105444253E-2</c:v>
                </c:pt>
                <c:pt idx="1057">
                  <c:v>4.7625241857496281E-2</c:v>
                </c:pt>
                <c:pt idx="1058">
                  <c:v>4.7621543966066104E-2</c:v>
                </c:pt>
                <c:pt idx="1059">
                  <c:v>4.7856419715296417E-2</c:v>
                </c:pt>
                <c:pt idx="1060">
                  <c:v>4.4743823979859432E-2</c:v>
                </c:pt>
                <c:pt idx="1061">
                  <c:v>4.8855521389825851E-2</c:v>
                </c:pt>
                <c:pt idx="1062">
                  <c:v>5.4040785271912473E-2</c:v>
                </c:pt>
                <c:pt idx="1063">
                  <c:v>5.3917770738446613E-2</c:v>
                </c:pt>
                <c:pt idx="1064">
                  <c:v>6.7333810312474318E-2</c:v>
                </c:pt>
                <c:pt idx="1065">
                  <c:v>7.9990532610686671E-2</c:v>
                </c:pt>
                <c:pt idx="1066">
                  <c:v>5.8164218552972935E-2</c:v>
                </c:pt>
                <c:pt idx="1067">
                  <c:v>6.805141131314385E-2</c:v>
                </c:pt>
                <c:pt idx="1068">
                  <c:v>6.4436810155866331E-2</c:v>
                </c:pt>
                <c:pt idx="1069">
                  <c:v>5.8164388633380693E-2</c:v>
                </c:pt>
                <c:pt idx="1070">
                  <c:v>4.8262647456795538E-2</c:v>
                </c:pt>
                <c:pt idx="1071">
                  <c:v>4.8259036518908616E-2</c:v>
                </c:pt>
                <c:pt idx="1072">
                  <c:v>5.7770879142535536E-2</c:v>
                </c:pt>
                <c:pt idx="1073">
                  <c:v>5.2664804398156129E-2</c:v>
                </c:pt>
                <c:pt idx="1074">
                  <c:v>5.7135638741747874E-2</c:v>
                </c:pt>
                <c:pt idx="1075">
                  <c:v>5.7496237166728692E-2</c:v>
                </c:pt>
                <c:pt idx="1076">
                  <c:v>6.2398803149023463E-2</c:v>
                </c:pt>
                <c:pt idx="1077">
                  <c:v>6.2395166026820936E-2</c:v>
                </c:pt>
                <c:pt idx="1078">
                  <c:v>4.2766768819322731E-2</c:v>
                </c:pt>
                <c:pt idx="1079">
                  <c:v>4.7669374051138025E-2</c:v>
                </c:pt>
                <c:pt idx="1080">
                  <c:v>4.8009392644375648E-2</c:v>
                </c:pt>
                <c:pt idx="1081">
                  <c:v>5.7818161731167717E-2</c:v>
                </c:pt>
                <c:pt idx="1082">
                  <c:v>4.3095941461820164E-2</c:v>
                </c:pt>
                <c:pt idx="1083">
                  <c:v>-6.0519324747592251E-2</c:v>
                </c:pt>
                <c:pt idx="1084">
                  <c:v>-7.0989186585791009E-2</c:v>
                </c:pt>
                <c:pt idx="1085">
                  <c:v>5.5177009186194947E-2</c:v>
                </c:pt>
                <c:pt idx="1086">
                  <c:v>3.4240294639677371E-2</c:v>
                </c:pt>
                <c:pt idx="1087">
                  <c:v>6.5636325986641264E-2</c:v>
                </c:pt>
                <c:pt idx="1088">
                  <c:v>6.5632662698092092E-2</c:v>
                </c:pt>
                <c:pt idx="1089">
                  <c:v>4.9929191341306245E-2</c:v>
                </c:pt>
                <c:pt idx="1090">
                  <c:v>9.9541325942091863E-2</c:v>
                </c:pt>
                <c:pt idx="1091">
                  <c:v>9.9537599799196075E-2</c:v>
                </c:pt>
                <c:pt idx="1092">
                  <c:v>9.9533873656300287E-2</c:v>
                </c:pt>
                <c:pt idx="1093">
                  <c:v>0.1045149540628818</c:v>
                </c:pt>
                <c:pt idx="1094">
                  <c:v>8.4571989260060931E-2</c:v>
                </c:pt>
                <c:pt idx="1095">
                  <c:v>7.9576153826092844E-2</c:v>
                </c:pt>
                <c:pt idx="1096">
                  <c:v>5.963326379537004E-2</c:v>
                </c:pt>
                <c:pt idx="1097">
                  <c:v>5.4644843261144382E-2</c:v>
                </c:pt>
                <c:pt idx="1098">
                  <c:v>4.9656435188935255E-2</c:v>
                </c:pt>
                <c:pt idx="1099">
                  <c:v>6.9592072326128518E-2</c:v>
                </c:pt>
              </c:numCache>
            </c:numRef>
          </c:val>
          <c:smooth val="0"/>
          <c:extLst>
            <c:ext xmlns:c16="http://schemas.microsoft.com/office/drawing/2014/chart" uri="{C3380CC4-5D6E-409C-BE32-E72D297353CC}">
              <c16:uniqueId val="{00000000-82F9-4D5B-BB93-A0CE02AC32EC}"/>
            </c:ext>
          </c:extLst>
        </c:ser>
        <c:ser>
          <c:idx val="1"/>
          <c:order val="1"/>
          <c:tx>
            <c:v>FBMKLCI</c:v>
          </c:tx>
          <c:spPr>
            <a:ln w="12700" cap="rnd">
              <a:solidFill>
                <a:schemeClr val="accent2"/>
              </a:solidFill>
              <a:round/>
            </a:ln>
            <a:effectLst/>
          </c:spPr>
          <c:marker>
            <c:symbol val="none"/>
          </c:marker>
          <c:cat>
            <c:numRef>
              <c:f>'D2'!$A$2:$A$1101</c:f>
              <c:numCache>
                <c:formatCode>m/d/yyyy</c:formatCode>
                <c:ptCount val="1100"/>
                <c:pt idx="0">
                  <c:v>44543</c:v>
                </c:pt>
                <c:pt idx="1">
                  <c:v>44544</c:v>
                </c:pt>
                <c:pt idx="2">
                  <c:v>44545</c:v>
                </c:pt>
                <c:pt idx="3">
                  <c:v>44546</c:v>
                </c:pt>
                <c:pt idx="4">
                  <c:v>44547</c:v>
                </c:pt>
                <c:pt idx="5">
                  <c:v>44550</c:v>
                </c:pt>
                <c:pt idx="6">
                  <c:v>44551</c:v>
                </c:pt>
                <c:pt idx="7">
                  <c:v>44552</c:v>
                </c:pt>
                <c:pt idx="8">
                  <c:v>44553</c:v>
                </c:pt>
                <c:pt idx="9">
                  <c:v>44554</c:v>
                </c:pt>
                <c:pt idx="10">
                  <c:v>44557</c:v>
                </c:pt>
                <c:pt idx="11">
                  <c:v>44558</c:v>
                </c:pt>
                <c:pt idx="12">
                  <c:v>44559</c:v>
                </c:pt>
                <c:pt idx="13">
                  <c:v>44560</c:v>
                </c:pt>
                <c:pt idx="14">
                  <c:v>44561</c:v>
                </c:pt>
                <c:pt idx="15">
                  <c:v>44564</c:v>
                </c:pt>
                <c:pt idx="16">
                  <c:v>44565</c:v>
                </c:pt>
                <c:pt idx="17">
                  <c:v>44566</c:v>
                </c:pt>
                <c:pt idx="18">
                  <c:v>44567</c:v>
                </c:pt>
                <c:pt idx="19">
                  <c:v>44568</c:v>
                </c:pt>
                <c:pt idx="20">
                  <c:v>44571</c:v>
                </c:pt>
                <c:pt idx="21">
                  <c:v>44572</c:v>
                </c:pt>
                <c:pt idx="22">
                  <c:v>44573</c:v>
                </c:pt>
                <c:pt idx="23">
                  <c:v>44574</c:v>
                </c:pt>
                <c:pt idx="24">
                  <c:v>44575</c:v>
                </c:pt>
                <c:pt idx="25">
                  <c:v>44578</c:v>
                </c:pt>
                <c:pt idx="26">
                  <c:v>44579</c:v>
                </c:pt>
                <c:pt idx="27">
                  <c:v>44580</c:v>
                </c:pt>
                <c:pt idx="28">
                  <c:v>44581</c:v>
                </c:pt>
                <c:pt idx="29">
                  <c:v>44582</c:v>
                </c:pt>
                <c:pt idx="30">
                  <c:v>44585</c:v>
                </c:pt>
                <c:pt idx="31">
                  <c:v>44586</c:v>
                </c:pt>
                <c:pt idx="32">
                  <c:v>44587</c:v>
                </c:pt>
                <c:pt idx="33">
                  <c:v>44588</c:v>
                </c:pt>
                <c:pt idx="34">
                  <c:v>44589</c:v>
                </c:pt>
                <c:pt idx="35">
                  <c:v>44592</c:v>
                </c:pt>
                <c:pt idx="36">
                  <c:v>44593</c:v>
                </c:pt>
                <c:pt idx="37">
                  <c:v>44594</c:v>
                </c:pt>
                <c:pt idx="38">
                  <c:v>44595</c:v>
                </c:pt>
                <c:pt idx="39">
                  <c:v>44596</c:v>
                </c:pt>
                <c:pt idx="40">
                  <c:v>44599</c:v>
                </c:pt>
                <c:pt idx="41">
                  <c:v>44600</c:v>
                </c:pt>
                <c:pt idx="42">
                  <c:v>44601</c:v>
                </c:pt>
                <c:pt idx="43">
                  <c:v>44602</c:v>
                </c:pt>
                <c:pt idx="44">
                  <c:v>44603</c:v>
                </c:pt>
                <c:pt idx="45">
                  <c:v>44606</c:v>
                </c:pt>
                <c:pt idx="46">
                  <c:v>44607</c:v>
                </c:pt>
                <c:pt idx="47">
                  <c:v>44608</c:v>
                </c:pt>
                <c:pt idx="48">
                  <c:v>44609</c:v>
                </c:pt>
                <c:pt idx="49">
                  <c:v>44610</c:v>
                </c:pt>
                <c:pt idx="50">
                  <c:v>44613</c:v>
                </c:pt>
                <c:pt idx="51">
                  <c:v>44614</c:v>
                </c:pt>
                <c:pt idx="52">
                  <c:v>44615</c:v>
                </c:pt>
                <c:pt idx="53">
                  <c:v>44616</c:v>
                </c:pt>
                <c:pt idx="54">
                  <c:v>44617</c:v>
                </c:pt>
                <c:pt idx="55">
                  <c:v>44620</c:v>
                </c:pt>
                <c:pt idx="56">
                  <c:v>44621</c:v>
                </c:pt>
                <c:pt idx="57">
                  <c:v>44622</c:v>
                </c:pt>
                <c:pt idx="58">
                  <c:v>44623</c:v>
                </c:pt>
                <c:pt idx="59">
                  <c:v>44624</c:v>
                </c:pt>
                <c:pt idx="60">
                  <c:v>44627</c:v>
                </c:pt>
                <c:pt idx="61">
                  <c:v>44628</c:v>
                </c:pt>
                <c:pt idx="62">
                  <c:v>44629</c:v>
                </c:pt>
                <c:pt idx="63">
                  <c:v>44630</c:v>
                </c:pt>
                <c:pt idx="64">
                  <c:v>44631</c:v>
                </c:pt>
                <c:pt idx="65">
                  <c:v>44634</c:v>
                </c:pt>
                <c:pt idx="66">
                  <c:v>44635</c:v>
                </c:pt>
                <c:pt idx="67">
                  <c:v>44636</c:v>
                </c:pt>
                <c:pt idx="68">
                  <c:v>44637</c:v>
                </c:pt>
                <c:pt idx="69">
                  <c:v>44638</c:v>
                </c:pt>
                <c:pt idx="70">
                  <c:v>44641</c:v>
                </c:pt>
                <c:pt idx="71">
                  <c:v>44642</c:v>
                </c:pt>
                <c:pt idx="72">
                  <c:v>44643</c:v>
                </c:pt>
                <c:pt idx="73">
                  <c:v>44644</c:v>
                </c:pt>
                <c:pt idx="74">
                  <c:v>44645</c:v>
                </c:pt>
                <c:pt idx="75">
                  <c:v>44648</c:v>
                </c:pt>
                <c:pt idx="76">
                  <c:v>44649</c:v>
                </c:pt>
                <c:pt idx="77">
                  <c:v>44650</c:v>
                </c:pt>
                <c:pt idx="78">
                  <c:v>44651</c:v>
                </c:pt>
                <c:pt idx="79">
                  <c:v>44652</c:v>
                </c:pt>
                <c:pt idx="80">
                  <c:v>44655</c:v>
                </c:pt>
                <c:pt idx="81">
                  <c:v>44656</c:v>
                </c:pt>
                <c:pt idx="82">
                  <c:v>44657</c:v>
                </c:pt>
                <c:pt idx="83">
                  <c:v>44658</c:v>
                </c:pt>
                <c:pt idx="84">
                  <c:v>44659</c:v>
                </c:pt>
                <c:pt idx="85">
                  <c:v>44662</c:v>
                </c:pt>
                <c:pt idx="86">
                  <c:v>44663</c:v>
                </c:pt>
                <c:pt idx="87">
                  <c:v>44664</c:v>
                </c:pt>
                <c:pt idx="88">
                  <c:v>44665</c:v>
                </c:pt>
                <c:pt idx="89">
                  <c:v>44666</c:v>
                </c:pt>
                <c:pt idx="90">
                  <c:v>44669</c:v>
                </c:pt>
                <c:pt idx="91">
                  <c:v>44670</c:v>
                </c:pt>
                <c:pt idx="92">
                  <c:v>44671</c:v>
                </c:pt>
                <c:pt idx="93">
                  <c:v>44672</c:v>
                </c:pt>
                <c:pt idx="94">
                  <c:v>44673</c:v>
                </c:pt>
                <c:pt idx="95">
                  <c:v>44676</c:v>
                </c:pt>
                <c:pt idx="96">
                  <c:v>44677</c:v>
                </c:pt>
                <c:pt idx="97">
                  <c:v>44678</c:v>
                </c:pt>
                <c:pt idx="98">
                  <c:v>44679</c:v>
                </c:pt>
                <c:pt idx="99">
                  <c:v>44680</c:v>
                </c:pt>
                <c:pt idx="100">
                  <c:v>44683</c:v>
                </c:pt>
                <c:pt idx="101">
                  <c:v>44684</c:v>
                </c:pt>
                <c:pt idx="102">
                  <c:v>44685</c:v>
                </c:pt>
                <c:pt idx="103">
                  <c:v>44686</c:v>
                </c:pt>
                <c:pt idx="104">
                  <c:v>44687</c:v>
                </c:pt>
                <c:pt idx="105">
                  <c:v>44690</c:v>
                </c:pt>
                <c:pt idx="106">
                  <c:v>44691</c:v>
                </c:pt>
                <c:pt idx="107">
                  <c:v>44692</c:v>
                </c:pt>
                <c:pt idx="108">
                  <c:v>44693</c:v>
                </c:pt>
                <c:pt idx="109">
                  <c:v>44694</c:v>
                </c:pt>
                <c:pt idx="110">
                  <c:v>44697</c:v>
                </c:pt>
                <c:pt idx="111">
                  <c:v>44698</c:v>
                </c:pt>
                <c:pt idx="112">
                  <c:v>44699</c:v>
                </c:pt>
                <c:pt idx="113">
                  <c:v>44700</c:v>
                </c:pt>
                <c:pt idx="114">
                  <c:v>44701</c:v>
                </c:pt>
                <c:pt idx="115">
                  <c:v>44704</c:v>
                </c:pt>
                <c:pt idx="116">
                  <c:v>44705</c:v>
                </c:pt>
                <c:pt idx="117">
                  <c:v>44706</c:v>
                </c:pt>
                <c:pt idx="118">
                  <c:v>44707</c:v>
                </c:pt>
                <c:pt idx="119">
                  <c:v>44708</c:v>
                </c:pt>
                <c:pt idx="120">
                  <c:v>44711</c:v>
                </c:pt>
                <c:pt idx="121">
                  <c:v>44712</c:v>
                </c:pt>
                <c:pt idx="122">
                  <c:v>44713</c:v>
                </c:pt>
                <c:pt idx="123">
                  <c:v>44714</c:v>
                </c:pt>
                <c:pt idx="124">
                  <c:v>44715</c:v>
                </c:pt>
                <c:pt idx="125">
                  <c:v>44718</c:v>
                </c:pt>
                <c:pt idx="126">
                  <c:v>44719</c:v>
                </c:pt>
                <c:pt idx="127">
                  <c:v>44720</c:v>
                </c:pt>
                <c:pt idx="128">
                  <c:v>44721</c:v>
                </c:pt>
                <c:pt idx="129">
                  <c:v>44722</c:v>
                </c:pt>
                <c:pt idx="130">
                  <c:v>44725</c:v>
                </c:pt>
                <c:pt idx="131">
                  <c:v>44726</c:v>
                </c:pt>
                <c:pt idx="132">
                  <c:v>44727</c:v>
                </c:pt>
                <c:pt idx="133">
                  <c:v>44728</c:v>
                </c:pt>
                <c:pt idx="134">
                  <c:v>44729</c:v>
                </c:pt>
                <c:pt idx="135">
                  <c:v>44732</c:v>
                </c:pt>
                <c:pt idx="136">
                  <c:v>44733</c:v>
                </c:pt>
                <c:pt idx="137">
                  <c:v>44734</c:v>
                </c:pt>
                <c:pt idx="138">
                  <c:v>44735</c:v>
                </c:pt>
                <c:pt idx="139">
                  <c:v>44736</c:v>
                </c:pt>
                <c:pt idx="140">
                  <c:v>44739</c:v>
                </c:pt>
                <c:pt idx="141">
                  <c:v>44740</c:v>
                </c:pt>
                <c:pt idx="142">
                  <c:v>44741</c:v>
                </c:pt>
                <c:pt idx="143">
                  <c:v>44742</c:v>
                </c:pt>
                <c:pt idx="144">
                  <c:v>44743</c:v>
                </c:pt>
                <c:pt idx="145">
                  <c:v>44746</c:v>
                </c:pt>
                <c:pt idx="146">
                  <c:v>44747</c:v>
                </c:pt>
                <c:pt idx="147">
                  <c:v>44748</c:v>
                </c:pt>
                <c:pt idx="148">
                  <c:v>44749</c:v>
                </c:pt>
                <c:pt idx="149">
                  <c:v>44750</c:v>
                </c:pt>
                <c:pt idx="150">
                  <c:v>44753</c:v>
                </c:pt>
                <c:pt idx="151">
                  <c:v>44754</c:v>
                </c:pt>
                <c:pt idx="152">
                  <c:v>44755</c:v>
                </c:pt>
                <c:pt idx="153">
                  <c:v>44756</c:v>
                </c:pt>
                <c:pt idx="154">
                  <c:v>44757</c:v>
                </c:pt>
                <c:pt idx="155">
                  <c:v>44760</c:v>
                </c:pt>
                <c:pt idx="156">
                  <c:v>44761</c:v>
                </c:pt>
                <c:pt idx="157">
                  <c:v>44762</c:v>
                </c:pt>
                <c:pt idx="158">
                  <c:v>44763</c:v>
                </c:pt>
                <c:pt idx="159">
                  <c:v>44764</c:v>
                </c:pt>
                <c:pt idx="160">
                  <c:v>44767</c:v>
                </c:pt>
                <c:pt idx="161">
                  <c:v>44768</c:v>
                </c:pt>
                <c:pt idx="162">
                  <c:v>44769</c:v>
                </c:pt>
                <c:pt idx="163">
                  <c:v>44770</c:v>
                </c:pt>
                <c:pt idx="164">
                  <c:v>44771</c:v>
                </c:pt>
                <c:pt idx="165">
                  <c:v>44774</c:v>
                </c:pt>
                <c:pt idx="166">
                  <c:v>44775</c:v>
                </c:pt>
                <c:pt idx="167">
                  <c:v>44776</c:v>
                </c:pt>
                <c:pt idx="168">
                  <c:v>44777</c:v>
                </c:pt>
                <c:pt idx="169">
                  <c:v>44778</c:v>
                </c:pt>
                <c:pt idx="170">
                  <c:v>44781</c:v>
                </c:pt>
                <c:pt idx="171">
                  <c:v>44782</c:v>
                </c:pt>
                <c:pt idx="172">
                  <c:v>44783</c:v>
                </c:pt>
                <c:pt idx="173">
                  <c:v>44784</c:v>
                </c:pt>
                <c:pt idx="174">
                  <c:v>44785</c:v>
                </c:pt>
                <c:pt idx="175">
                  <c:v>44788</c:v>
                </c:pt>
                <c:pt idx="176">
                  <c:v>44789</c:v>
                </c:pt>
                <c:pt idx="177">
                  <c:v>44790</c:v>
                </c:pt>
                <c:pt idx="178">
                  <c:v>44791</c:v>
                </c:pt>
                <c:pt idx="179">
                  <c:v>44792</c:v>
                </c:pt>
                <c:pt idx="180">
                  <c:v>44795</c:v>
                </c:pt>
                <c:pt idx="181">
                  <c:v>44796</c:v>
                </c:pt>
                <c:pt idx="182">
                  <c:v>44797</c:v>
                </c:pt>
                <c:pt idx="183">
                  <c:v>44798</c:v>
                </c:pt>
                <c:pt idx="184">
                  <c:v>44799</c:v>
                </c:pt>
                <c:pt idx="185">
                  <c:v>44802</c:v>
                </c:pt>
                <c:pt idx="186">
                  <c:v>44803</c:v>
                </c:pt>
                <c:pt idx="187">
                  <c:v>44804</c:v>
                </c:pt>
                <c:pt idx="188">
                  <c:v>44805</c:v>
                </c:pt>
                <c:pt idx="189">
                  <c:v>44806</c:v>
                </c:pt>
                <c:pt idx="190">
                  <c:v>44809</c:v>
                </c:pt>
                <c:pt idx="191">
                  <c:v>44810</c:v>
                </c:pt>
                <c:pt idx="192">
                  <c:v>44811</c:v>
                </c:pt>
                <c:pt idx="193">
                  <c:v>44812</c:v>
                </c:pt>
                <c:pt idx="194">
                  <c:v>44813</c:v>
                </c:pt>
                <c:pt idx="195">
                  <c:v>44816</c:v>
                </c:pt>
                <c:pt idx="196">
                  <c:v>44817</c:v>
                </c:pt>
                <c:pt idx="197">
                  <c:v>44818</c:v>
                </c:pt>
                <c:pt idx="198">
                  <c:v>44819</c:v>
                </c:pt>
                <c:pt idx="199">
                  <c:v>44820</c:v>
                </c:pt>
                <c:pt idx="200">
                  <c:v>44823</c:v>
                </c:pt>
                <c:pt idx="201">
                  <c:v>44824</c:v>
                </c:pt>
                <c:pt idx="202">
                  <c:v>44825</c:v>
                </c:pt>
                <c:pt idx="203">
                  <c:v>44826</c:v>
                </c:pt>
                <c:pt idx="204">
                  <c:v>44827</c:v>
                </c:pt>
                <c:pt idx="205">
                  <c:v>44830</c:v>
                </c:pt>
                <c:pt idx="206">
                  <c:v>44831</c:v>
                </c:pt>
                <c:pt idx="207">
                  <c:v>44832</c:v>
                </c:pt>
                <c:pt idx="208">
                  <c:v>44833</c:v>
                </c:pt>
                <c:pt idx="209">
                  <c:v>44834</c:v>
                </c:pt>
                <c:pt idx="210">
                  <c:v>44837</c:v>
                </c:pt>
                <c:pt idx="211">
                  <c:v>44838</c:v>
                </c:pt>
                <c:pt idx="212">
                  <c:v>44839</c:v>
                </c:pt>
                <c:pt idx="213">
                  <c:v>44840</c:v>
                </c:pt>
                <c:pt idx="214">
                  <c:v>44841</c:v>
                </c:pt>
                <c:pt idx="215">
                  <c:v>44844</c:v>
                </c:pt>
                <c:pt idx="216">
                  <c:v>44845</c:v>
                </c:pt>
                <c:pt idx="217">
                  <c:v>44846</c:v>
                </c:pt>
                <c:pt idx="218">
                  <c:v>44847</c:v>
                </c:pt>
                <c:pt idx="219">
                  <c:v>44848</c:v>
                </c:pt>
                <c:pt idx="220">
                  <c:v>44851</c:v>
                </c:pt>
                <c:pt idx="221">
                  <c:v>44852</c:v>
                </c:pt>
                <c:pt idx="222">
                  <c:v>44853</c:v>
                </c:pt>
                <c:pt idx="223">
                  <c:v>44854</c:v>
                </c:pt>
                <c:pt idx="224">
                  <c:v>44855</c:v>
                </c:pt>
                <c:pt idx="225">
                  <c:v>44858</c:v>
                </c:pt>
                <c:pt idx="226">
                  <c:v>44859</c:v>
                </c:pt>
                <c:pt idx="227">
                  <c:v>44860</c:v>
                </c:pt>
                <c:pt idx="228">
                  <c:v>44861</c:v>
                </c:pt>
                <c:pt idx="229">
                  <c:v>44862</c:v>
                </c:pt>
                <c:pt idx="230">
                  <c:v>44865</c:v>
                </c:pt>
                <c:pt idx="231">
                  <c:v>44866</c:v>
                </c:pt>
                <c:pt idx="232">
                  <c:v>44867</c:v>
                </c:pt>
                <c:pt idx="233">
                  <c:v>44868</c:v>
                </c:pt>
                <c:pt idx="234">
                  <c:v>44869</c:v>
                </c:pt>
                <c:pt idx="235">
                  <c:v>44872</c:v>
                </c:pt>
                <c:pt idx="236">
                  <c:v>44873</c:v>
                </c:pt>
                <c:pt idx="237">
                  <c:v>44874</c:v>
                </c:pt>
                <c:pt idx="238">
                  <c:v>44875</c:v>
                </c:pt>
                <c:pt idx="239">
                  <c:v>44876</c:v>
                </c:pt>
                <c:pt idx="240">
                  <c:v>44879</c:v>
                </c:pt>
                <c:pt idx="241">
                  <c:v>44880</c:v>
                </c:pt>
                <c:pt idx="242">
                  <c:v>44881</c:v>
                </c:pt>
                <c:pt idx="243">
                  <c:v>44882</c:v>
                </c:pt>
                <c:pt idx="244">
                  <c:v>44883</c:v>
                </c:pt>
                <c:pt idx="245">
                  <c:v>44886</c:v>
                </c:pt>
                <c:pt idx="246">
                  <c:v>44887</c:v>
                </c:pt>
                <c:pt idx="247">
                  <c:v>44888</c:v>
                </c:pt>
                <c:pt idx="248">
                  <c:v>44889</c:v>
                </c:pt>
                <c:pt idx="249">
                  <c:v>44890</c:v>
                </c:pt>
                <c:pt idx="250">
                  <c:v>44893</c:v>
                </c:pt>
                <c:pt idx="251">
                  <c:v>44894</c:v>
                </c:pt>
                <c:pt idx="252">
                  <c:v>44895</c:v>
                </c:pt>
                <c:pt idx="253">
                  <c:v>44896</c:v>
                </c:pt>
                <c:pt idx="254">
                  <c:v>44897</c:v>
                </c:pt>
                <c:pt idx="255">
                  <c:v>44900</c:v>
                </c:pt>
                <c:pt idx="256">
                  <c:v>44901</c:v>
                </c:pt>
                <c:pt idx="257">
                  <c:v>44902</c:v>
                </c:pt>
                <c:pt idx="258">
                  <c:v>44903</c:v>
                </c:pt>
                <c:pt idx="259">
                  <c:v>44904</c:v>
                </c:pt>
                <c:pt idx="260">
                  <c:v>44907</c:v>
                </c:pt>
                <c:pt idx="261">
                  <c:v>44908</c:v>
                </c:pt>
                <c:pt idx="262">
                  <c:v>44909</c:v>
                </c:pt>
                <c:pt idx="263">
                  <c:v>44910</c:v>
                </c:pt>
                <c:pt idx="264">
                  <c:v>44911</c:v>
                </c:pt>
                <c:pt idx="265">
                  <c:v>44914</c:v>
                </c:pt>
                <c:pt idx="266">
                  <c:v>44915</c:v>
                </c:pt>
                <c:pt idx="267">
                  <c:v>44916</c:v>
                </c:pt>
                <c:pt idx="268">
                  <c:v>44917</c:v>
                </c:pt>
                <c:pt idx="269">
                  <c:v>44918</c:v>
                </c:pt>
                <c:pt idx="270">
                  <c:v>44921</c:v>
                </c:pt>
                <c:pt idx="271">
                  <c:v>44922</c:v>
                </c:pt>
                <c:pt idx="272">
                  <c:v>44923</c:v>
                </c:pt>
                <c:pt idx="273">
                  <c:v>44924</c:v>
                </c:pt>
                <c:pt idx="274">
                  <c:v>44925</c:v>
                </c:pt>
                <c:pt idx="275">
                  <c:v>44928</c:v>
                </c:pt>
                <c:pt idx="276">
                  <c:v>44929</c:v>
                </c:pt>
                <c:pt idx="277">
                  <c:v>44930</c:v>
                </c:pt>
                <c:pt idx="278">
                  <c:v>44931</c:v>
                </c:pt>
                <c:pt idx="279">
                  <c:v>44932</c:v>
                </c:pt>
                <c:pt idx="280">
                  <c:v>44935</c:v>
                </c:pt>
                <c:pt idx="281">
                  <c:v>44936</c:v>
                </c:pt>
                <c:pt idx="282">
                  <c:v>44937</c:v>
                </c:pt>
                <c:pt idx="283">
                  <c:v>44938</c:v>
                </c:pt>
                <c:pt idx="284">
                  <c:v>44939</c:v>
                </c:pt>
                <c:pt idx="285">
                  <c:v>44942</c:v>
                </c:pt>
                <c:pt idx="286">
                  <c:v>44943</c:v>
                </c:pt>
                <c:pt idx="287">
                  <c:v>44944</c:v>
                </c:pt>
                <c:pt idx="288">
                  <c:v>44945</c:v>
                </c:pt>
                <c:pt idx="289">
                  <c:v>44946</c:v>
                </c:pt>
                <c:pt idx="290">
                  <c:v>44949</c:v>
                </c:pt>
                <c:pt idx="291">
                  <c:v>44950</c:v>
                </c:pt>
                <c:pt idx="292">
                  <c:v>44951</c:v>
                </c:pt>
                <c:pt idx="293">
                  <c:v>44952</c:v>
                </c:pt>
                <c:pt idx="294">
                  <c:v>44953</c:v>
                </c:pt>
                <c:pt idx="295">
                  <c:v>44956</c:v>
                </c:pt>
                <c:pt idx="296">
                  <c:v>44957</c:v>
                </c:pt>
                <c:pt idx="297">
                  <c:v>44958</c:v>
                </c:pt>
                <c:pt idx="298">
                  <c:v>44959</c:v>
                </c:pt>
                <c:pt idx="299">
                  <c:v>44960</c:v>
                </c:pt>
                <c:pt idx="300">
                  <c:v>44963</c:v>
                </c:pt>
                <c:pt idx="301">
                  <c:v>44964</c:v>
                </c:pt>
                <c:pt idx="302">
                  <c:v>44965</c:v>
                </c:pt>
                <c:pt idx="303">
                  <c:v>44966</c:v>
                </c:pt>
                <c:pt idx="304">
                  <c:v>44967</c:v>
                </c:pt>
                <c:pt idx="305">
                  <c:v>44970</c:v>
                </c:pt>
                <c:pt idx="306">
                  <c:v>44971</c:v>
                </c:pt>
                <c:pt idx="307">
                  <c:v>44972</c:v>
                </c:pt>
                <c:pt idx="308">
                  <c:v>44973</c:v>
                </c:pt>
                <c:pt idx="309">
                  <c:v>44974</c:v>
                </c:pt>
                <c:pt idx="310">
                  <c:v>44977</c:v>
                </c:pt>
                <c:pt idx="311">
                  <c:v>44978</c:v>
                </c:pt>
                <c:pt idx="312">
                  <c:v>44979</c:v>
                </c:pt>
                <c:pt idx="313">
                  <c:v>44980</c:v>
                </c:pt>
                <c:pt idx="314">
                  <c:v>44981</c:v>
                </c:pt>
                <c:pt idx="315">
                  <c:v>44984</c:v>
                </c:pt>
                <c:pt idx="316">
                  <c:v>44985</c:v>
                </c:pt>
                <c:pt idx="317">
                  <c:v>44986</c:v>
                </c:pt>
                <c:pt idx="318">
                  <c:v>44987</c:v>
                </c:pt>
                <c:pt idx="319">
                  <c:v>44988</c:v>
                </c:pt>
                <c:pt idx="320">
                  <c:v>44991</c:v>
                </c:pt>
                <c:pt idx="321">
                  <c:v>44992</c:v>
                </c:pt>
                <c:pt idx="322">
                  <c:v>44993</c:v>
                </c:pt>
                <c:pt idx="323">
                  <c:v>44994</c:v>
                </c:pt>
                <c:pt idx="324">
                  <c:v>44995</c:v>
                </c:pt>
                <c:pt idx="325">
                  <c:v>44998</c:v>
                </c:pt>
                <c:pt idx="326">
                  <c:v>44999</c:v>
                </c:pt>
                <c:pt idx="327">
                  <c:v>45000</c:v>
                </c:pt>
                <c:pt idx="328">
                  <c:v>45001</c:v>
                </c:pt>
                <c:pt idx="329">
                  <c:v>45002</c:v>
                </c:pt>
                <c:pt idx="330">
                  <c:v>45005</c:v>
                </c:pt>
                <c:pt idx="331">
                  <c:v>45006</c:v>
                </c:pt>
                <c:pt idx="332">
                  <c:v>45007</c:v>
                </c:pt>
                <c:pt idx="333">
                  <c:v>45008</c:v>
                </c:pt>
                <c:pt idx="334">
                  <c:v>45009</c:v>
                </c:pt>
                <c:pt idx="335">
                  <c:v>45012</c:v>
                </c:pt>
                <c:pt idx="336">
                  <c:v>45013</c:v>
                </c:pt>
                <c:pt idx="337">
                  <c:v>45014</c:v>
                </c:pt>
                <c:pt idx="338">
                  <c:v>45015</c:v>
                </c:pt>
                <c:pt idx="339">
                  <c:v>45016</c:v>
                </c:pt>
                <c:pt idx="340">
                  <c:v>45019</c:v>
                </c:pt>
                <c:pt idx="341">
                  <c:v>45020</c:v>
                </c:pt>
                <c:pt idx="342">
                  <c:v>45021</c:v>
                </c:pt>
                <c:pt idx="343">
                  <c:v>45022</c:v>
                </c:pt>
                <c:pt idx="344">
                  <c:v>45023</c:v>
                </c:pt>
                <c:pt idx="345">
                  <c:v>45026</c:v>
                </c:pt>
                <c:pt idx="346">
                  <c:v>45027</c:v>
                </c:pt>
                <c:pt idx="347">
                  <c:v>45028</c:v>
                </c:pt>
                <c:pt idx="348">
                  <c:v>45029</c:v>
                </c:pt>
                <c:pt idx="349">
                  <c:v>45030</c:v>
                </c:pt>
                <c:pt idx="350">
                  <c:v>45033</c:v>
                </c:pt>
                <c:pt idx="351">
                  <c:v>45034</c:v>
                </c:pt>
                <c:pt idx="352">
                  <c:v>45035</c:v>
                </c:pt>
                <c:pt idx="353">
                  <c:v>45036</c:v>
                </c:pt>
                <c:pt idx="354">
                  <c:v>45037</c:v>
                </c:pt>
                <c:pt idx="355">
                  <c:v>45040</c:v>
                </c:pt>
                <c:pt idx="356">
                  <c:v>45041</c:v>
                </c:pt>
                <c:pt idx="357">
                  <c:v>45042</c:v>
                </c:pt>
                <c:pt idx="358">
                  <c:v>45043</c:v>
                </c:pt>
                <c:pt idx="359">
                  <c:v>45044</c:v>
                </c:pt>
                <c:pt idx="360">
                  <c:v>45047</c:v>
                </c:pt>
                <c:pt idx="361">
                  <c:v>45048</c:v>
                </c:pt>
                <c:pt idx="362">
                  <c:v>45049</c:v>
                </c:pt>
                <c:pt idx="363">
                  <c:v>45050</c:v>
                </c:pt>
                <c:pt idx="364">
                  <c:v>45051</c:v>
                </c:pt>
                <c:pt idx="365">
                  <c:v>45054</c:v>
                </c:pt>
                <c:pt idx="366">
                  <c:v>45055</c:v>
                </c:pt>
                <c:pt idx="367">
                  <c:v>45056</c:v>
                </c:pt>
                <c:pt idx="368">
                  <c:v>45057</c:v>
                </c:pt>
                <c:pt idx="369">
                  <c:v>45058</c:v>
                </c:pt>
                <c:pt idx="370">
                  <c:v>45061</c:v>
                </c:pt>
                <c:pt idx="371">
                  <c:v>45062</c:v>
                </c:pt>
                <c:pt idx="372">
                  <c:v>45063</c:v>
                </c:pt>
                <c:pt idx="373">
                  <c:v>45064</c:v>
                </c:pt>
                <c:pt idx="374">
                  <c:v>45065</c:v>
                </c:pt>
                <c:pt idx="375">
                  <c:v>45068</c:v>
                </c:pt>
                <c:pt idx="376">
                  <c:v>45069</c:v>
                </c:pt>
                <c:pt idx="377">
                  <c:v>45070</c:v>
                </c:pt>
                <c:pt idx="378">
                  <c:v>45071</c:v>
                </c:pt>
                <c:pt idx="379">
                  <c:v>45072</c:v>
                </c:pt>
                <c:pt idx="380">
                  <c:v>45075</c:v>
                </c:pt>
                <c:pt idx="381">
                  <c:v>45076</c:v>
                </c:pt>
                <c:pt idx="382">
                  <c:v>45077</c:v>
                </c:pt>
                <c:pt idx="383">
                  <c:v>45078</c:v>
                </c:pt>
                <c:pt idx="384">
                  <c:v>45079</c:v>
                </c:pt>
                <c:pt idx="385">
                  <c:v>45082</c:v>
                </c:pt>
                <c:pt idx="386">
                  <c:v>45083</c:v>
                </c:pt>
                <c:pt idx="387">
                  <c:v>45084</c:v>
                </c:pt>
                <c:pt idx="388">
                  <c:v>45085</c:v>
                </c:pt>
                <c:pt idx="389">
                  <c:v>45086</c:v>
                </c:pt>
                <c:pt idx="390">
                  <c:v>45089</c:v>
                </c:pt>
                <c:pt idx="391">
                  <c:v>45090</c:v>
                </c:pt>
                <c:pt idx="392">
                  <c:v>45091</c:v>
                </c:pt>
                <c:pt idx="393">
                  <c:v>45092</c:v>
                </c:pt>
                <c:pt idx="394">
                  <c:v>45093</c:v>
                </c:pt>
                <c:pt idx="395">
                  <c:v>45096</c:v>
                </c:pt>
                <c:pt idx="396">
                  <c:v>45097</c:v>
                </c:pt>
                <c:pt idx="397">
                  <c:v>45098</c:v>
                </c:pt>
                <c:pt idx="398">
                  <c:v>45099</c:v>
                </c:pt>
                <c:pt idx="399">
                  <c:v>45100</c:v>
                </c:pt>
                <c:pt idx="400">
                  <c:v>45103</c:v>
                </c:pt>
                <c:pt idx="401">
                  <c:v>45104</c:v>
                </c:pt>
                <c:pt idx="402">
                  <c:v>45105</c:v>
                </c:pt>
                <c:pt idx="403">
                  <c:v>45106</c:v>
                </c:pt>
                <c:pt idx="404">
                  <c:v>45107</c:v>
                </c:pt>
                <c:pt idx="405">
                  <c:v>45110</c:v>
                </c:pt>
                <c:pt idx="406">
                  <c:v>45111</c:v>
                </c:pt>
                <c:pt idx="407">
                  <c:v>45112</c:v>
                </c:pt>
                <c:pt idx="408">
                  <c:v>45113</c:v>
                </c:pt>
                <c:pt idx="409">
                  <c:v>45114</c:v>
                </c:pt>
                <c:pt idx="410">
                  <c:v>45117</c:v>
                </c:pt>
                <c:pt idx="411">
                  <c:v>45118</c:v>
                </c:pt>
                <c:pt idx="412">
                  <c:v>45119</c:v>
                </c:pt>
                <c:pt idx="413">
                  <c:v>45120</c:v>
                </c:pt>
                <c:pt idx="414">
                  <c:v>45121</c:v>
                </c:pt>
                <c:pt idx="415">
                  <c:v>45124</c:v>
                </c:pt>
                <c:pt idx="416">
                  <c:v>45125</c:v>
                </c:pt>
                <c:pt idx="417">
                  <c:v>45126</c:v>
                </c:pt>
                <c:pt idx="418">
                  <c:v>45127</c:v>
                </c:pt>
                <c:pt idx="419">
                  <c:v>45128</c:v>
                </c:pt>
                <c:pt idx="420">
                  <c:v>45131</c:v>
                </c:pt>
                <c:pt idx="421">
                  <c:v>45132</c:v>
                </c:pt>
                <c:pt idx="422">
                  <c:v>45133</c:v>
                </c:pt>
                <c:pt idx="423">
                  <c:v>45134</c:v>
                </c:pt>
                <c:pt idx="424">
                  <c:v>45135</c:v>
                </c:pt>
                <c:pt idx="425">
                  <c:v>45138</c:v>
                </c:pt>
                <c:pt idx="426">
                  <c:v>45139</c:v>
                </c:pt>
                <c:pt idx="427">
                  <c:v>45140</c:v>
                </c:pt>
                <c:pt idx="428">
                  <c:v>45141</c:v>
                </c:pt>
                <c:pt idx="429">
                  <c:v>45142</c:v>
                </c:pt>
                <c:pt idx="430">
                  <c:v>45145</c:v>
                </c:pt>
                <c:pt idx="431">
                  <c:v>45146</c:v>
                </c:pt>
                <c:pt idx="432">
                  <c:v>45147</c:v>
                </c:pt>
                <c:pt idx="433">
                  <c:v>45148</c:v>
                </c:pt>
                <c:pt idx="434">
                  <c:v>45149</c:v>
                </c:pt>
                <c:pt idx="435">
                  <c:v>45152</c:v>
                </c:pt>
                <c:pt idx="436">
                  <c:v>45153</c:v>
                </c:pt>
                <c:pt idx="437">
                  <c:v>45154</c:v>
                </c:pt>
                <c:pt idx="438">
                  <c:v>45155</c:v>
                </c:pt>
                <c:pt idx="439">
                  <c:v>45156</c:v>
                </c:pt>
                <c:pt idx="440">
                  <c:v>45159</c:v>
                </c:pt>
                <c:pt idx="441">
                  <c:v>45160</c:v>
                </c:pt>
                <c:pt idx="442">
                  <c:v>45161</c:v>
                </c:pt>
                <c:pt idx="443">
                  <c:v>45162</c:v>
                </c:pt>
                <c:pt idx="444">
                  <c:v>45163</c:v>
                </c:pt>
                <c:pt idx="445">
                  <c:v>45166</c:v>
                </c:pt>
                <c:pt idx="446">
                  <c:v>45167</c:v>
                </c:pt>
                <c:pt idx="447">
                  <c:v>45168</c:v>
                </c:pt>
                <c:pt idx="448">
                  <c:v>45169</c:v>
                </c:pt>
                <c:pt idx="449">
                  <c:v>45170</c:v>
                </c:pt>
                <c:pt idx="450">
                  <c:v>45173</c:v>
                </c:pt>
                <c:pt idx="451">
                  <c:v>45174</c:v>
                </c:pt>
                <c:pt idx="452">
                  <c:v>45175</c:v>
                </c:pt>
                <c:pt idx="453">
                  <c:v>45176</c:v>
                </c:pt>
                <c:pt idx="454">
                  <c:v>45177</c:v>
                </c:pt>
                <c:pt idx="455">
                  <c:v>45180</c:v>
                </c:pt>
                <c:pt idx="456">
                  <c:v>45181</c:v>
                </c:pt>
                <c:pt idx="457">
                  <c:v>45182</c:v>
                </c:pt>
                <c:pt idx="458">
                  <c:v>45183</c:v>
                </c:pt>
                <c:pt idx="459">
                  <c:v>45184</c:v>
                </c:pt>
                <c:pt idx="460">
                  <c:v>45187</c:v>
                </c:pt>
                <c:pt idx="461">
                  <c:v>45188</c:v>
                </c:pt>
                <c:pt idx="462">
                  <c:v>45189</c:v>
                </c:pt>
                <c:pt idx="463">
                  <c:v>45190</c:v>
                </c:pt>
                <c:pt idx="464">
                  <c:v>45191</c:v>
                </c:pt>
                <c:pt idx="465">
                  <c:v>45194</c:v>
                </c:pt>
                <c:pt idx="466">
                  <c:v>45195</c:v>
                </c:pt>
                <c:pt idx="467">
                  <c:v>45196</c:v>
                </c:pt>
                <c:pt idx="468">
                  <c:v>45197</c:v>
                </c:pt>
                <c:pt idx="469">
                  <c:v>45198</c:v>
                </c:pt>
                <c:pt idx="470">
                  <c:v>45201</c:v>
                </c:pt>
                <c:pt idx="471">
                  <c:v>45202</c:v>
                </c:pt>
                <c:pt idx="472">
                  <c:v>45203</c:v>
                </c:pt>
                <c:pt idx="473">
                  <c:v>45204</c:v>
                </c:pt>
                <c:pt idx="474">
                  <c:v>45205</c:v>
                </c:pt>
                <c:pt idx="475">
                  <c:v>45208</c:v>
                </c:pt>
                <c:pt idx="476">
                  <c:v>45209</c:v>
                </c:pt>
                <c:pt idx="477">
                  <c:v>45210</c:v>
                </c:pt>
                <c:pt idx="478">
                  <c:v>45211</c:v>
                </c:pt>
                <c:pt idx="479">
                  <c:v>45212</c:v>
                </c:pt>
                <c:pt idx="480">
                  <c:v>45215</c:v>
                </c:pt>
                <c:pt idx="481">
                  <c:v>45216</c:v>
                </c:pt>
                <c:pt idx="482">
                  <c:v>45217</c:v>
                </c:pt>
                <c:pt idx="483">
                  <c:v>45218</c:v>
                </c:pt>
                <c:pt idx="484">
                  <c:v>45219</c:v>
                </c:pt>
                <c:pt idx="485">
                  <c:v>45222</c:v>
                </c:pt>
                <c:pt idx="486">
                  <c:v>45223</c:v>
                </c:pt>
                <c:pt idx="487">
                  <c:v>45224</c:v>
                </c:pt>
                <c:pt idx="488">
                  <c:v>45225</c:v>
                </c:pt>
                <c:pt idx="489">
                  <c:v>45226</c:v>
                </c:pt>
                <c:pt idx="490">
                  <c:v>45229</c:v>
                </c:pt>
                <c:pt idx="491">
                  <c:v>45230</c:v>
                </c:pt>
                <c:pt idx="492">
                  <c:v>45231</c:v>
                </c:pt>
                <c:pt idx="493">
                  <c:v>45232</c:v>
                </c:pt>
                <c:pt idx="494">
                  <c:v>45233</c:v>
                </c:pt>
                <c:pt idx="495">
                  <c:v>45236</c:v>
                </c:pt>
                <c:pt idx="496">
                  <c:v>45237</c:v>
                </c:pt>
                <c:pt idx="497">
                  <c:v>45238</c:v>
                </c:pt>
                <c:pt idx="498">
                  <c:v>45239</c:v>
                </c:pt>
                <c:pt idx="499">
                  <c:v>45240</c:v>
                </c:pt>
                <c:pt idx="500">
                  <c:v>45243</c:v>
                </c:pt>
                <c:pt idx="501">
                  <c:v>45244</c:v>
                </c:pt>
                <c:pt idx="502">
                  <c:v>45245</c:v>
                </c:pt>
                <c:pt idx="503">
                  <c:v>45246</c:v>
                </c:pt>
                <c:pt idx="504">
                  <c:v>45247</c:v>
                </c:pt>
                <c:pt idx="505">
                  <c:v>45250</c:v>
                </c:pt>
                <c:pt idx="506">
                  <c:v>45251</c:v>
                </c:pt>
                <c:pt idx="507">
                  <c:v>45252</c:v>
                </c:pt>
                <c:pt idx="508">
                  <c:v>45253</c:v>
                </c:pt>
                <c:pt idx="509">
                  <c:v>45254</c:v>
                </c:pt>
                <c:pt idx="510">
                  <c:v>45257</c:v>
                </c:pt>
                <c:pt idx="511">
                  <c:v>45258</c:v>
                </c:pt>
                <c:pt idx="512">
                  <c:v>45259</c:v>
                </c:pt>
                <c:pt idx="513">
                  <c:v>45260</c:v>
                </c:pt>
                <c:pt idx="514">
                  <c:v>45261</c:v>
                </c:pt>
                <c:pt idx="515">
                  <c:v>45264</c:v>
                </c:pt>
                <c:pt idx="516">
                  <c:v>45265</c:v>
                </c:pt>
                <c:pt idx="517">
                  <c:v>45266</c:v>
                </c:pt>
                <c:pt idx="518">
                  <c:v>45267</c:v>
                </c:pt>
                <c:pt idx="519">
                  <c:v>45268</c:v>
                </c:pt>
                <c:pt idx="520">
                  <c:v>45271</c:v>
                </c:pt>
                <c:pt idx="521">
                  <c:v>45272</c:v>
                </c:pt>
                <c:pt idx="522">
                  <c:v>45273</c:v>
                </c:pt>
                <c:pt idx="523">
                  <c:v>45274</c:v>
                </c:pt>
                <c:pt idx="524">
                  <c:v>45275</c:v>
                </c:pt>
                <c:pt idx="525">
                  <c:v>45278</c:v>
                </c:pt>
                <c:pt idx="526">
                  <c:v>45279</c:v>
                </c:pt>
                <c:pt idx="527">
                  <c:v>45280</c:v>
                </c:pt>
                <c:pt idx="528">
                  <c:v>45281</c:v>
                </c:pt>
                <c:pt idx="529">
                  <c:v>45282</c:v>
                </c:pt>
                <c:pt idx="530">
                  <c:v>45285</c:v>
                </c:pt>
                <c:pt idx="531">
                  <c:v>45286</c:v>
                </c:pt>
                <c:pt idx="532">
                  <c:v>45287</c:v>
                </c:pt>
                <c:pt idx="533">
                  <c:v>45288</c:v>
                </c:pt>
                <c:pt idx="534">
                  <c:v>45289</c:v>
                </c:pt>
                <c:pt idx="535">
                  <c:v>45292</c:v>
                </c:pt>
                <c:pt idx="536">
                  <c:v>45293</c:v>
                </c:pt>
                <c:pt idx="537">
                  <c:v>45294</c:v>
                </c:pt>
                <c:pt idx="538">
                  <c:v>45295</c:v>
                </c:pt>
                <c:pt idx="539">
                  <c:v>45296</c:v>
                </c:pt>
                <c:pt idx="540">
                  <c:v>45299</c:v>
                </c:pt>
                <c:pt idx="541">
                  <c:v>45300</c:v>
                </c:pt>
                <c:pt idx="542">
                  <c:v>45301</c:v>
                </c:pt>
                <c:pt idx="543">
                  <c:v>45302</c:v>
                </c:pt>
                <c:pt idx="544">
                  <c:v>45303</c:v>
                </c:pt>
                <c:pt idx="545">
                  <c:v>45306</c:v>
                </c:pt>
                <c:pt idx="546">
                  <c:v>45307</c:v>
                </c:pt>
                <c:pt idx="547">
                  <c:v>45308</c:v>
                </c:pt>
                <c:pt idx="548">
                  <c:v>45309</c:v>
                </c:pt>
                <c:pt idx="549">
                  <c:v>45310</c:v>
                </c:pt>
                <c:pt idx="550">
                  <c:v>45313</c:v>
                </c:pt>
                <c:pt idx="551">
                  <c:v>45314</c:v>
                </c:pt>
                <c:pt idx="552">
                  <c:v>45315</c:v>
                </c:pt>
                <c:pt idx="553">
                  <c:v>45316</c:v>
                </c:pt>
                <c:pt idx="554">
                  <c:v>45317</c:v>
                </c:pt>
                <c:pt idx="555">
                  <c:v>45320</c:v>
                </c:pt>
                <c:pt idx="556">
                  <c:v>45321</c:v>
                </c:pt>
                <c:pt idx="557">
                  <c:v>45322</c:v>
                </c:pt>
                <c:pt idx="558">
                  <c:v>45323</c:v>
                </c:pt>
                <c:pt idx="559">
                  <c:v>45324</c:v>
                </c:pt>
                <c:pt idx="560">
                  <c:v>45327</c:v>
                </c:pt>
                <c:pt idx="561">
                  <c:v>45328</c:v>
                </c:pt>
                <c:pt idx="562">
                  <c:v>45329</c:v>
                </c:pt>
                <c:pt idx="563">
                  <c:v>45330</c:v>
                </c:pt>
                <c:pt idx="564">
                  <c:v>45331</c:v>
                </c:pt>
                <c:pt idx="565">
                  <c:v>45334</c:v>
                </c:pt>
                <c:pt idx="566">
                  <c:v>45335</c:v>
                </c:pt>
                <c:pt idx="567">
                  <c:v>45336</c:v>
                </c:pt>
                <c:pt idx="568">
                  <c:v>45337</c:v>
                </c:pt>
                <c:pt idx="569">
                  <c:v>45338</c:v>
                </c:pt>
                <c:pt idx="570">
                  <c:v>45341</c:v>
                </c:pt>
                <c:pt idx="571">
                  <c:v>45342</c:v>
                </c:pt>
                <c:pt idx="572">
                  <c:v>45343</c:v>
                </c:pt>
                <c:pt idx="573">
                  <c:v>45344</c:v>
                </c:pt>
                <c:pt idx="574">
                  <c:v>45345</c:v>
                </c:pt>
                <c:pt idx="575">
                  <c:v>45348</c:v>
                </c:pt>
                <c:pt idx="576">
                  <c:v>45349</c:v>
                </c:pt>
                <c:pt idx="577">
                  <c:v>45350</c:v>
                </c:pt>
                <c:pt idx="578">
                  <c:v>45351</c:v>
                </c:pt>
                <c:pt idx="579">
                  <c:v>45352</c:v>
                </c:pt>
                <c:pt idx="580">
                  <c:v>45355</c:v>
                </c:pt>
                <c:pt idx="581">
                  <c:v>45356</c:v>
                </c:pt>
                <c:pt idx="582">
                  <c:v>45357</c:v>
                </c:pt>
                <c:pt idx="583">
                  <c:v>45358</c:v>
                </c:pt>
                <c:pt idx="584">
                  <c:v>45359</c:v>
                </c:pt>
                <c:pt idx="585">
                  <c:v>45362</c:v>
                </c:pt>
                <c:pt idx="586">
                  <c:v>45363</c:v>
                </c:pt>
                <c:pt idx="587">
                  <c:v>45364</c:v>
                </c:pt>
                <c:pt idx="588">
                  <c:v>45365</c:v>
                </c:pt>
                <c:pt idx="589">
                  <c:v>45366</c:v>
                </c:pt>
                <c:pt idx="590">
                  <c:v>45369</c:v>
                </c:pt>
                <c:pt idx="591">
                  <c:v>45370</c:v>
                </c:pt>
                <c:pt idx="592">
                  <c:v>45371</c:v>
                </c:pt>
                <c:pt idx="593">
                  <c:v>45372</c:v>
                </c:pt>
                <c:pt idx="594">
                  <c:v>45373</c:v>
                </c:pt>
                <c:pt idx="595">
                  <c:v>45376</c:v>
                </c:pt>
                <c:pt idx="596">
                  <c:v>45377</c:v>
                </c:pt>
                <c:pt idx="597">
                  <c:v>45378</c:v>
                </c:pt>
                <c:pt idx="598">
                  <c:v>45379</c:v>
                </c:pt>
                <c:pt idx="599">
                  <c:v>45380</c:v>
                </c:pt>
                <c:pt idx="600">
                  <c:v>45383</c:v>
                </c:pt>
                <c:pt idx="601">
                  <c:v>45384</c:v>
                </c:pt>
                <c:pt idx="602">
                  <c:v>45385</c:v>
                </c:pt>
                <c:pt idx="603">
                  <c:v>45386</c:v>
                </c:pt>
                <c:pt idx="604">
                  <c:v>45387</c:v>
                </c:pt>
                <c:pt idx="605">
                  <c:v>45390</c:v>
                </c:pt>
                <c:pt idx="606">
                  <c:v>45391</c:v>
                </c:pt>
                <c:pt idx="607">
                  <c:v>45392</c:v>
                </c:pt>
                <c:pt idx="608">
                  <c:v>45393</c:v>
                </c:pt>
                <c:pt idx="609">
                  <c:v>45394</c:v>
                </c:pt>
                <c:pt idx="610">
                  <c:v>45397</c:v>
                </c:pt>
                <c:pt idx="611">
                  <c:v>45398</c:v>
                </c:pt>
                <c:pt idx="612">
                  <c:v>45399</c:v>
                </c:pt>
                <c:pt idx="613">
                  <c:v>45400</c:v>
                </c:pt>
                <c:pt idx="614">
                  <c:v>45401</c:v>
                </c:pt>
                <c:pt idx="615">
                  <c:v>45404</c:v>
                </c:pt>
                <c:pt idx="616">
                  <c:v>45405</c:v>
                </c:pt>
                <c:pt idx="617">
                  <c:v>45406</c:v>
                </c:pt>
                <c:pt idx="618">
                  <c:v>45407</c:v>
                </c:pt>
                <c:pt idx="619">
                  <c:v>45408</c:v>
                </c:pt>
                <c:pt idx="620">
                  <c:v>45411</c:v>
                </c:pt>
                <c:pt idx="621">
                  <c:v>45412</c:v>
                </c:pt>
                <c:pt idx="622">
                  <c:v>45413</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45432</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45460</c:v>
                </c:pt>
                <c:pt idx="656">
                  <c:v>45461</c:v>
                </c:pt>
                <c:pt idx="657">
                  <c:v>45462</c:v>
                </c:pt>
                <c:pt idx="658">
                  <c:v>45463</c:v>
                </c:pt>
                <c:pt idx="659">
                  <c:v>45464</c:v>
                </c:pt>
                <c:pt idx="660">
                  <c:v>45467</c:v>
                </c:pt>
                <c:pt idx="661">
                  <c:v>45468</c:v>
                </c:pt>
                <c:pt idx="662">
                  <c:v>45469</c:v>
                </c:pt>
                <c:pt idx="663">
                  <c:v>45470</c:v>
                </c:pt>
                <c:pt idx="664">
                  <c:v>45471</c:v>
                </c:pt>
                <c:pt idx="665">
                  <c:v>45474</c:v>
                </c:pt>
                <c:pt idx="666">
                  <c:v>45475</c:v>
                </c:pt>
                <c:pt idx="667">
                  <c:v>45476</c:v>
                </c:pt>
                <c:pt idx="668">
                  <c:v>45477</c:v>
                </c:pt>
                <c:pt idx="669">
                  <c:v>45478</c:v>
                </c:pt>
                <c:pt idx="670">
                  <c:v>45481</c:v>
                </c:pt>
                <c:pt idx="671">
                  <c:v>45482</c:v>
                </c:pt>
                <c:pt idx="672">
                  <c:v>45483</c:v>
                </c:pt>
                <c:pt idx="673">
                  <c:v>45484</c:v>
                </c:pt>
                <c:pt idx="674">
                  <c:v>45485</c:v>
                </c:pt>
                <c:pt idx="675">
                  <c:v>45488</c:v>
                </c:pt>
                <c:pt idx="676">
                  <c:v>45489</c:v>
                </c:pt>
                <c:pt idx="677">
                  <c:v>45490</c:v>
                </c:pt>
                <c:pt idx="678">
                  <c:v>45491</c:v>
                </c:pt>
                <c:pt idx="679">
                  <c:v>45492</c:v>
                </c:pt>
                <c:pt idx="680">
                  <c:v>45495</c:v>
                </c:pt>
                <c:pt idx="681">
                  <c:v>45496</c:v>
                </c:pt>
                <c:pt idx="682">
                  <c:v>45497</c:v>
                </c:pt>
                <c:pt idx="683">
                  <c:v>45498</c:v>
                </c:pt>
                <c:pt idx="684">
                  <c:v>45499</c:v>
                </c:pt>
                <c:pt idx="685">
                  <c:v>45502</c:v>
                </c:pt>
                <c:pt idx="686">
                  <c:v>45503</c:v>
                </c:pt>
                <c:pt idx="687">
                  <c:v>45504</c:v>
                </c:pt>
                <c:pt idx="688">
                  <c:v>45505</c:v>
                </c:pt>
                <c:pt idx="689">
                  <c:v>45506</c:v>
                </c:pt>
                <c:pt idx="690">
                  <c:v>45509</c:v>
                </c:pt>
                <c:pt idx="691">
                  <c:v>45510</c:v>
                </c:pt>
                <c:pt idx="692">
                  <c:v>45511</c:v>
                </c:pt>
                <c:pt idx="693">
                  <c:v>45512</c:v>
                </c:pt>
                <c:pt idx="694">
                  <c:v>45513</c:v>
                </c:pt>
                <c:pt idx="695">
                  <c:v>45516</c:v>
                </c:pt>
                <c:pt idx="696">
                  <c:v>45517</c:v>
                </c:pt>
                <c:pt idx="697">
                  <c:v>45518</c:v>
                </c:pt>
                <c:pt idx="698">
                  <c:v>45519</c:v>
                </c:pt>
                <c:pt idx="699">
                  <c:v>45520</c:v>
                </c:pt>
                <c:pt idx="700">
                  <c:v>45523</c:v>
                </c:pt>
                <c:pt idx="701">
                  <c:v>45524</c:v>
                </c:pt>
                <c:pt idx="702">
                  <c:v>45525</c:v>
                </c:pt>
                <c:pt idx="703">
                  <c:v>45526</c:v>
                </c:pt>
                <c:pt idx="704">
                  <c:v>45527</c:v>
                </c:pt>
                <c:pt idx="705">
                  <c:v>45530</c:v>
                </c:pt>
                <c:pt idx="706">
                  <c:v>45531</c:v>
                </c:pt>
                <c:pt idx="707">
                  <c:v>45532</c:v>
                </c:pt>
                <c:pt idx="708">
                  <c:v>45533</c:v>
                </c:pt>
                <c:pt idx="709">
                  <c:v>45534</c:v>
                </c:pt>
                <c:pt idx="710">
                  <c:v>45537</c:v>
                </c:pt>
                <c:pt idx="711">
                  <c:v>45538</c:v>
                </c:pt>
                <c:pt idx="712">
                  <c:v>45539</c:v>
                </c:pt>
                <c:pt idx="713">
                  <c:v>45540</c:v>
                </c:pt>
                <c:pt idx="714">
                  <c:v>45541</c:v>
                </c:pt>
                <c:pt idx="715">
                  <c:v>45544</c:v>
                </c:pt>
                <c:pt idx="716">
                  <c:v>45545</c:v>
                </c:pt>
                <c:pt idx="717">
                  <c:v>45546</c:v>
                </c:pt>
                <c:pt idx="718">
                  <c:v>45547</c:v>
                </c:pt>
                <c:pt idx="719">
                  <c:v>45548</c:v>
                </c:pt>
                <c:pt idx="720">
                  <c:v>45551</c:v>
                </c:pt>
                <c:pt idx="721">
                  <c:v>45552</c:v>
                </c:pt>
                <c:pt idx="722">
                  <c:v>45553</c:v>
                </c:pt>
                <c:pt idx="723">
                  <c:v>45554</c:v>
                </c:pt>
                <c:pt idx="724">
                  <c:v>45555</c:v>
                </c:pt>
                <c:pt idx="725">
                  <c:v>45558</c:v>
                </c:pt>
                <c:pt idx="726">
                  <c:v>45559</c:v>
                </c:pt>
                <c:pt idx="727">
                  <c:v>45560</c:v>
                </c:pt>
                <c:pt idx="728">
                  <c:v>45561</c:v>
                </c:pt>
                <c:pt idx="729">
                  <c:v>45562</c:v>
                </c:pt>
                <c:pt idx="730">
                  <c:v>45565</c:v>
                </c:pt>
                <c:pt idx="731">
                  <c:v>45566</c:v>
                </c:pt>
                <c:pt idx="732">
                  <c:v>45567</c:v>
                </c:pt>
                <c:pt idx="733">
                  <c:v>45568</c:v>
                </c:pt>
                <c:pt idx="734">
                  <c:v>45569</c:v>
                </c:pt>
                <c:pt idx="735">
                  <c:v>45572</c:v>
                </c:pt>
                <c:pt idx="736">
                  <c:v>45573</c:v>
                </c:pt>
                <c:pt idx="737">
                  <c:v>45574</c:v>
                </c:pt>
                <c:pt idx="738">
                  <c:v>45575</c:v>
                </c:pt>
                <c:pt idx="739">
                  <c:v>45576</c:v>
                </c:pt>
                <c:pt idx="740">
                  <c:v>45579</c:v>
                </c:pt>
                <c:pt idx="741">
                  <c:v>45580</c:v>
                </c:pt>
                <c:pt idx="742">
                  <c:v>45581</c:v>
                </c:pt>
                <c:pt idx="743">
                  <c:v>45582</c:v>
                </c:pt>
                <c:pt idx="744">
                  <c:v>45583</c:v>
                </c:pt>
                <c:pt idx="745">
                  <c:v>45586</c:v>
                </c:pt>
                <c:pt idx="746">
                  <c:v>45587</c:v>
                </c:pt>
                <c:pt idx="747">
                  <c:v>45588</c:v>
                </c:pt>
                <c:pt idx="748">
                  <c:v>45589</c:v>
                </c:pt>
                <c:pt idx="749">
                  <c:v>45590</c:v>
                </c:pt>
                <c:pt idx="750">
                  <c:v>45593</c:v>
                </c:pt>
                <c:pt idx="751">
                  <c:v>45594</c:v>
                </c:pt>
                <c:pt idx="752">
                  <c:v>45595</c:v>
                </c:pt>
                <c:pt idx="753">
                  <c:v>45596</c:v>
                </c:pt>
                <c:pt idx="754">
                  <c:v>45597</c:v>
                </c:pt>
                <c:pt idx="755">
                  <c:v>45600</c:v>
                </c:pt>
                <c:pt idx="756">
                  <c:v>45601</c:v>
                </c:pt>
                <c:pt idx="757">
                  <c:v>45602</c:v>
                </c:pt>
                <c:pt idx="758">
                  <c:v>45603</c:v>
                </c:pt>
                <c:pt idx="759">
                  <c:v>45604</c:v>
                </c:pt>
                <c:pt idx="760">
                  <c:v>45607</c:v>
                </c:pt>
                <c:pt idx="761">
                  <c:v>45608</c:v>
                </c:pt>
                <c:pt idx="762">
                  <c:v>45609</c:v>
                </c:pt>
                <c:pt idx="763">
                  <c:v>45610</c:v>
                </c:pt>
                <c:pt idx="764">
                  <c:v>45611</c:v>
                </c:pt>
                <c:pt idx="765">
                  <c:v>45614</c:v>
                </c:pt>
                <c:pt idx="766">
                  <c:v>45615</c:v>
                </c:pt>
                <c:pt idx="767">
                  <c:v>45616</c:v>
                </c:pt>
                <c:pt idx="768">
                  <c:v>45617</c:v>
                </c:pt>
                <c:pt idx="769">
                  <c:v>45618</c:v>
                </c:pt>
                <c:pt idx="770">
                  <c:v>45621</c:v>
                </c:pt>
                <c:pt idx="771">
                  <c:v>45622</c:v>
                </c:pt>
                <c:pt idx="772">
                  <c:v>45623</c:v>
                </c:pt>
                <c:pt idx="773">
                  <c:v>45624</c:v>
                </c:pt>
                <c:pt idx="774">
                  <c:v>45625</c:v>
                </c:pt>
                <c:pt idx="775">
                  <c:v>45628</c:v>
                </c:pt>
                <c:pt idx="776">
                  <c:v>45629</c:v>
                </c:pt>
                <c:pt idx="777">
                  <c:v>45630</c:v>
                </c:pt>
                <c:pt idx="778">
                  <c:v>45631</c:v>
                </c:pt>
                <c:pt idx="779">
                  <c:v>45632</c:v>
                </c:pt>
                <c:pt idx="780">
                  <c:v>45635</c:v>
                </c:pt>
                <c:pt idx="781">
                  <c:v>45636</c:v>
                </c:pt>
                <c:pt idx="782">
                  <c:v>45637</c:v>
                </c:pt>
                <c:pt idx="783">
                  <c:v>45638</c:v>
                </c:pt>
                <c:pt idx="784">
                  <c:v>45639</c:v>
                </c:pt>
                <c:pt idx="785">
                  <c:v>45642</c:v>
                </c:pt>
                <c:pt idx="786">
                  <c:v>45643</c:v>
                </c:pt>
                <c:pt idx="787">
                  <c:v>45644</c:v>
                </c:pt>
                <c:pt idx="788">
                  <c:v>45645</c:v>
                </c:pt>
                <c:pt idx="789">
                  <c:v>45646</c:v>
                </c:pt>
                <c:pt idx="790">
                  <c:v>45649</c:v>
                </c:pt>
                <c:pt idx="791">
                  <c:v>45650</c:v>
                </c:pt>
                <c:pt idx="792">
                  <c:v>45651</c:v>
                </c:pt>
                <c:pt idx="793">
                  <c:v>45652</c:v>
                </c:pt>
                <c:pt idx="794">
                  <c:v>45653</c:v>
                </c:pt>
                <c:pt idx="795">
                  <c:v>45656</c:v>
                </c:pt>
                <c:pt idx="796">
                  <c:v>45657</c:v>
                </c:pt>
                <c:pt idx="797">
                  <c:v>45658</c:v>
                </c:pt>
                <c:pt idx="798">
                  <c:v>45659</c:v>
                </c:pt>
                <c:pt idx="799">
                  <c:v>45660</c:v>
                </c:pt>
                <c:pt idx="800">
                  <c:v>45663</c:v>
                </c:pt>
                <c:pt idx="801">
                  <c:v>45664</c:v>
                </c:pt>
                <c:pt idx="802">
                  <c:v>45665</c:v>
                </c:pt>
                <c:pt idx="803">
                  <c:v>45666</c:v>
                </c:pt>
                <c:pt idx="804">
                  <c:v>45667</c:v>
                </c:pt>
                <c:pt idx="805">
                  <c:v>45670</c:v>
                </c:pt>
                <c:pt idx="806">
                  <c:v>45671</c:v>
                </c:pt>
                <c:pt idx="807">
                  <c:v>45672</c:v>
                </c:pt>
                <c:pt idx="808">
                  <c:v>45673</c:v>
                </c:pt>
                <c:pt idx="809">
                  <c:v>45674</c:v>
                </c:pt>
                <c:pt idx="810">
                  <c:v>45677</c:v>
                </c:pt>
                <c:pt idx="811">
                  <c:v>45678</c:v>
                </c:pt>
                <c:pt idx="812">
                  <c:v>45679</c:v>
                </c:pt>
                <c:pt idx="813">
                  <c:v>45680</c:v>
                </c:pt>
                <c:pt idx="814">
                  <c:v>45681</c:v>
                </c:pt>
                <c:pt idx="815">
                  <c:v>45684</c:v>
                </c:pt>
                <c:pt idx="816">
                  <c:v>45685</c:v>
                </c:pt>
                <c:pt idx="817">
                  <c:v>45686</c:v>
                </c:pt>
                <c:pt idx="818">
                  <c:v>45687</c:v>
                </c:pt>
                <c:pt idx="819">
                  <c:v>45688</c:v>
                </c:pt>
                <c:pt idx="820">
                  <c:v>45691</c:v>
                </c:pt>
                <c:pt idx="821">
                  <c:v>45692</c:v>
                </c:pt>
                <c:pt idx="822">
                  <c:v>45693</c:v>
                </c:pt>
                <c:pt idx="823">
                  <c:v>45694</c:v>
                </c:pt>
                <c:pt idx="824">
                  <c:v>45695</c:v>
                </c:pt>
                <c:pt idx="825">
                  <c:v>45698</c:v>
                </c:pt>
                <c:pt idx="826">
                  <c:v>45699</c:v>
                </c:pt>
                <c:pt idx="827">
                  <c:v>45700</c:v>
                </c:pt>
                <c:pt idx="828">
                  <c:v>45701</c:v>
                </c:pt>
                <c:pt idx="829">
                  <c:v>45702</c:v>
                </c:pt>
                <c:pt idx="830">
                  <c:v>45705</c:v>
                </c:pt>
                <c:pt idx="831">
                  <c:v>45706</c:v>
                </c:pt>
                <c:pt idx="832">
                  <c:v>45707</c:v>
                </c:pt>
                <c:pt idx="833">
                  <c:v>45708</c:v>
                </c:pt>
                <c:pt idx="834">
                  <c:v>45709</c:v>
                </c:pt>
                <c:pt idx="835">
                  <c:v>45712</c:v>
                </c:pt>
                <c:pt idx="836">
                  <c:v>45713</c:v>
                </c:pt>
                <c:pt idx="837">
                  <c:v>45714</c:v>
                </c:pt>
                <c:pt idx="838">
                  <c:v>45715</c:v>
                </c:pt>
                <c:pt idx="839">
                  <c:v>45716</c:v>
                </c:pt>
                <c:pt idx="840">
                  <c:v>45719</c:v>
                </c:pt>
                <c:pt idx="841">
                  <c:v>45720</c:v>
                </c:pt>
                <c:pt idx="842">
                  <c:v>45721</c:v>
                </c:pt>
                <c:pt idx="843">
                  <c:v>45722</c:v>
                </c:pt>
                <c:pt idx="844">
                  <c:v>45723</c:v>
                </c:pt>
                <c:pt idx="845">
                  <c:v>45726</c:v>
                </c:pt>
                <c:pt idx="846">
                  <c:v>45727</c:v>
                </c:pt>
                <c:pt idx="847">
                  <c:v>45728</c:v>
                </c:pt>
                <c:pt idx="848">
                  <c:v>45729</c:v>
                </c:pt>
                <c:pt idx="849">
                  <c:v>45730</c:v>
                </c:pt>
                <c:pt idx="850">
                  <c:v>45733</c:v>
                </c:pt>
                <c:pt idx="851">
                  <c:v>45734</c:v>
                </c:pt>
                <c:pt idx="852">
                  <c:v>45735</c:v>
                </c:pt>
                <c:pt idx="853">
                  <c:v>45736</c:v>
                </c:pt>
                <c:pt idx="854">
                  <c:v>45737</c:v>
                </c:pt>
                <c:pt idx="855">
                  <c:v>45740</c:v>
                </c:pt>
                <c:pt idx="856">
                  <c:v>45741</c:v>
                </c:pt>
                <c:pt idx="857">
                  <c:v>45742</c:v>
                </c:pt>
                <c:pt idx="858">
                  <c:v>45743</c:v>
                </c:pt>
                <c:pt idx="859">
                  <c:v>45744</c:v>
                </c:pt>
                <c:pt idx="860">
                  <c:v>45747</c:v>
                </c:pt>
                <c:pt idx="861">
                  <c:v>45748</c:v>
                </c:pt>
                <c:pt idx="862">
                  <c:v>45749</c:v>
                </c:pt>
                <c:pt idx="863">
                  <c:v>45750</c:v>
                </c:pt>
                <c:pt idx="864">
                  <c:v>45751</c:v>
                </c:pt>
                <c:pt idx="865">
                  <c:v>45754</c:v>
                </c:pt>
                <c:pt idx="866">
                  <c:v>45755</c:v>
                </c:pt>
                <c:pt idx="867">
                  <c:v>45756</c:v>
                </c:pt>
                <c:pt idx="868">
                  <c:v>45757</c:v>
                </c:pt>
                <c:pt idx="869">
                  <c:v>45758</c:v>
                </c:pt>
                <c:pt idx="870">
                  <c:v>45761</c:v>
                </c:pt>
                <c:pt idx="871">
                  <c:v>45762</c:v>
                </c:pt>
                <c:pt idx="872">
                  <c:v>45763</c:v>
                </c:pt>
                <c:pt idx="873">
                  <c:v>45764</c:v>
                </c:pt>
                <c:pt idx="874">
                  <c:v>45765</c:v>
                </c:pt>
                <c:pt idx="875">
                  <c:v>45768</c:v>
                </c:pt>
                <c:pt idx="876">
                  <c:v>45769</c:v>
                </c:pt>
                <c:pt idx="877">
                  <c:v>45770</c:v>
                </c:pt>
                <c:pt idx="878">
                  <c:v>45771</c:v>
                </c:pt>
                <c:pt idx="879">
                  <c:v>45772</c:v>
                </c:pt>
                <c:pt idx="880">
                  <c:v>45775</c:v>
                </c:pt>
                <c:pt idx="881">
                  <c:v>45776</c:v>
                </c:pt>
                <c:pt idx="882">
                  <c:v>45777</c:v>
                </c:pt>
                <c:pt idx="883">
                  <c:v>45778</c:v>
                </c:pt>
                <c:pt idx="884">
                  <c:v>45779</c:v>
                </c:pt>
                <c:pt idx="885">
                  <c:v>45782</c:v>
                </c:pt>
                <c:pt idx="886">
                  <c:v>45783</c:v>
                </c:pt>
                <c:pt idx="887">
                  <c:v>45784</c:v>
                </c:pt>
                <c:pt idx="888">
                  <c:v>45785</c:v>
                </c:pt>
                <c:pt idx="889">
                  <c:v>45786</c:v>
                </c:pt>
                <c:pt idx="890">
                  <c:v>45789</c:v>
                </c:pt>
                <c:pt idx="891">
                  <c:v>45790</c:v>
                </c:pt>
                <c:pt idx="892">
                  <c:v>45791</c:v>
                </c:pt>
                <c:pt idx="893">
                  <c:v>45792</c:v>
                </c:pt>
                <c:pt idx="894">
                  <c:v>45793</c:v>
                </c:pt>
                <c:pt idx="895">
                  <c:v>45796</c:v>
                </c:pt>
                <c:pt idx="896">
                  <c:v>45797</c:v>
                </c:pt>
                <c:pt idx="897">
                  <c:v>45798</c:v>
                </c:pt>
                <c:pt idx="898">
                  <c:v>45799</c:v>
                </c:pt>
                <c:pt idx="899">
                  <c:v>45800</c:v>
                </c:pt>
                <c:pt idx="900">
                  <c:v>45803</c:v>
                </c:pt>
                <c:pt idx="901">
                  <c:v>45804</c:v>
                </c:pt>
                <c:pt idx="902">
                  <c:v>45805</c:v>
                </c:pt>
                <c:pt idx="903">
                  <c:v>45806</c:v>
                </c:pt>
                <c:pt idx="904">
                  <c:v>45807</c:v>
                </c:pt>
                <c:pt idx="905">
                  <c:v>45810</c:v>
                </c:pt>
                <c:pt idx="906">
                  <c:v>45811</c:v>
                </c:pt>
                <c:pt idx="907">
                  <c:v>45812</c:v>
                </c:pt>
                <c:pt idx="908">
                  <c:v>45813</c:v>
                </c:pt>
                <c:pt idx="909">
                  <c:v>45814</c:v>
                </c:pt>
                <c:pt idx="910">
                  <c:v>45817</c:v>
                </c:pt>
                <c:pt idx="911">
                  <c:v>45818</c:v>
                </c:pt>
                <c:pt idx="912">
                  <c:v>45819</c:v>
                </c:pt>
                <c:pt idx="913">
                  <c:v>45820</c:v>
                </c:pt>
                <c:pt idx="914">
                  <c:v>45821</c:v>
                </c:pt>
                <c:pt idx="915">
                  <c:v>45824</c:v>
                </c:pt>
                <c:pt idx="916">
                  <c:v>45825</c:v>
                </c:pt>
                <c:pt idx="917">
                  <c:v>45826</c:v>
                </c:pt>
                <c:pt idx="918">
                  <c:v>45827</c:v>
                </c:pt>
                <c:pt idx="919">
                  <c:v>45828</c:v>
                </c:pt>
                <c:pt idx="920">
                  <c:v>45831</c:v>
                </c:pt>
                <c:pt idx="921">
                  <c:v>45832</c:v>
                </c:pt>
                <c:pt idx="922">
                  <c:v>45833</c:v>
                </c:pt>
                <c:pt idx="923">
                  <c:v>45834</c:v>
                </c:pt>
                <c:pt idx="924">
                  <c:v>45835</c:v>
                </c:pt>
                <c:pt idx="925">
                  <c:v>45838</c:v>
                </c:pt>
                <c:pt idx="926">
                  <c:v>45839</c:v>
                </c:pt>
                <c:pt idx="927">
                  <c:v>45840</c:v>
                </c:pt>
                <c:pt idx="928">
                  <c:v>45841</c:v>
                </c:pt>
                <c:pt idx="929">
                  <c:v>45842</c:v>
                </c:pt>
                <c:pt idx="930">
                  <c:v>45845</c:v>
                </c:pt>
                <c:pt idx="931">
                  <c:v>45846</c:v>
                </c:pt>
                <c:pt idx="932">
                  <c:v>45847</c:v>
                </c:pt>
                <c:pt idx="933">
                  <c:v>45848</c:v>
                </c:pt>
                <c:pt idx="934">
                  <c:v>45849</c:v>
                </c:pt>
                <c:pt idx="935">
                  <c:v>45852</c:v>
                </c:pt>
                <c:pt idx="936">
                  <c:v>45853</c:v>
                </c:pt>
                <c:pt idx="937">
                  <c:v>45854</c:v>
                </c:pt>
                <c:pt idx="938">
                  <c:v>45855</c:v>
                </c:pt>
                <c:pt idx="939">
                  <c:v>45856</c:v>
                </c:pt>
                <c:pt idx="940">
                  <c:v>45859</c:v>
                </c:pt>
                <c:pt idx="941">
                  <c:v>45860</c:v>
                </c:pt>
                <c:pt idx="942">
                  <c:v>45861</c:v>
                </c:pt>
                <c:pt idx="943">
                  <c:v>45862</c:v>
                </c:pt>
                <c:pt idx="944">
                  <c:v>45863</c:v>
                </c:pt>
                <c:pt idx="945">
                  <c:v>45866</c:v>
                </c:pt>
                <c:pt idx="946">
                  <c:v>45867</c:v>
                </c:pt>
                <c:pt idx="947">
                  <c:v>45868</c:v>
                </c:pt>
                <c:pt idx="948">
                  <c:v>45869</c:v>
                </c:pt>
                <c:pt idx="949">
                  <c:v>45870</c:v>
                </c:pt>
                <c:pt idx="950">
                  <c:v>45873</c:v>
                </c:pt>
                <c:pt idx="951">
                  <c:v>45874</c:v>
                </c:pt>
                <c:pt idx="952">
                  <c:v>45875</c:v>
                </c:pt>
                <c:pt idx="953">
                  <c:v>45876</c:v>
                </c:pt>
                <c:pt idx="954">
                  <c:v>45877</c:v>
                </c:pt>
                <c:pt idx="955">
                  <c:v>45880</c:v>
                </c:pt>
                <c:pt idx="956">
                  <c:v>45881</c:v>
                </c:pt>
                <c:pt idx="957">
                  <c:v>45882</c:v>
                </c:pt>
                <c:pt idx="958">
                  <c:v>45883</c:v>
                </c:pt>
                <c:pt idx="959">
                  <c:v>45884</c:v>
                </c:pt>
                <c:pt idx="960">
                  <c:v>45887</c:v>
                </c:pt>
                <c:pt idx="961">
                  <c:v>45888</c:v>
                </c:pt>
                <c:pt idx="962">
                  <c:v>45889</c:v>
                </c:pt>
                <c:pt idx="963">
                  <c:v>45890</c:v>
                </c:pt>
                <c:pt idx="964">
                  <c:v>45891</c:v>
                </c:pt>
                <c:pt idx="965">
                  <c:v>45894</c:v>
                </c:pt>
                <c:pt idx="966">
                  <c:v>45895</c:v>
                </c:pt>
                <c:pt idx="967">
                  <c:v>45896</c:v>
                </c:pt>
                <c:pt idx="968">
                  <c:v>45897</c:v>
                </c:pt>
                <c:pt idx="969">
                  <c:v>45898</c:v>
                </c:pt>
                <c:pt idx="970">
                  <c:v>45901</c:v>
                </c:pt>
                <c:pt idx="971">
                  <c:v>45902</c:v>
                </c:pt>
                <c:pt idx="972">
                  <c:v>45903</c:v>
                </c:pt>
                <c:pt idx="973">
                  <c:v>45904</c:v>
                </c:pt>
                <c:pt idx="974">
                  <c:v>45905</c:v>
                </c:pt>
                <c:pt idx="975">
                  <c:v>45908</c:v>
                </c:pt>
                <c:pt idx="976">
                  <c:v>45909</c:v>
                </c:pt>
                <c:pt idx="977">
                  <c:v>45910</c:v>
                </c:pt>
                <c:pt idx="978">
                  <c:v>45911</c:v>
                </c:pt>
                <c:pt idx="979">
                  <c:v>45912</c:v>
                </c:pt>
                <c:pt idx="980">
                  <c:v>45915</c:v>
                </c:pt>
                <c:pt idx="981">
                  <c:v>45916</c:v>
                </c:pt>
                <c:pt idx="982">
                  <c:v>45917</c:v>
                </c:pt>
                <c:pt idx="983">
                  <c:v>45918</c:v>
                </c:pt>
                <c:pt idx="984">
                  <c:v>45919</c:v>
                </c:pt>
                <c:pt idx="985">
                  <c:v>45922</c:v>
                </c:pt>
                <c:pt idx="986">
                  <c:v>45923</c:v>
                </c:pt>
                <c:pt idx="987">
                  <c:v>45924</c:v>
                </c:pt>
                <c:pt idx="988">
                  <c:v>45925</c:v>
                </c:pt>
                <c:pt idx="989">
                  <c:v>45926</c:v>
                </c:pt>
                <c:pt idx="990">
                  <c:v>45929</c:v>
                </c:pt>
                <c:pt idx="991">
                  <c:v>45930</c:v>
                </c:pt>
                <c:pt idx="992">
                  <c:v>45931</c:v>
                </c:pt>
                <c:pt idx="993">
                  <c:v>45932</c:v>
                </c:pt>
                <c:pt idx="994">
                  <c:v>45933</c:v>
                </c:pt>
                <c:pt idx="995">
                  <c:v>45936</c:v>
                </c:pt>
                <c:pt idx="996">
                  <c:v>45937</c:v>
                </c:pt>
                <c:pt idx="997">
                  <c:v>45938</c:v>
                </c:pt>
                <c:pt idx="998">
                  <c:v>45939</c:v>
                </c:pt>
                <c:pt idx="999">
                  <c:v>45940</c:v>
                </c:pt>
                <c:pt idx="1000">
                  <c:v>45943</c:v>
                </c:pt>
                <c:pt idx="1001">
                  <c:v>45944</c:v>
                </c:pt>
                <c:pt idx="1002">
                  <c:v>45945</c:v>
                </c:pt>
                <c:pt idx="1003">
                  <c:v>45946</c:v>
                </c:pt>
                <c:pt idx="1004">
                  <c:v>45947</c:v>
                </c:pt>
                <c:pt idx="1005">
                  <c:v>45950</c:v>
                </c:pt>
                <c:pt idx="1006">
                  <c:v>45951</c:v>
                </c:pt>
                <c:pt idx="1007">
                  <c:v>45952</c:v>
                </c:pt>
                <c:pt idx="1008">
                  <c:v>45953</c:v>
                </c:pt>
                <c:pt idx="1009">
                  <c:v>45954</c:v>
                </c:pt>
                <c:pt idx="1010">
                  <c:v>45957</c:v>
                </c:pt>
                <c:pt idx="1011">
                  <c:v>45958</c:v>
                </c:pt>
                <c:pt idx="1012">
                  <c:v>45959</c:v>
                </c:pt>
                <c:pt idx="1013">
                  <c:v>45960</c:v>
                </c:pt>
                <c:pt idx="1014">
                  <c:v>45961</c:v>
                </c:pt>
                <c:pt idx="1015">
                  <c:v>45964</c:v>
                </c:pt>
                <c:pt idx="1016">
                  <c:v>45965</c:v>
                </c:pt>
                <c:pt idx="1017">
                  <c:v>45966</c:v>
                </c:pt>
                <c:pt idx="1018">
                  <c:v>45967</c:v>
                </c:pt>
                <c:pt idx="1019">
                  <c:v>45968</c:v>
                </c:pt>
                <c:pt idx="1020">
                  <c:v>45971</c:v>
                </c:pt>
                <c:pt idx="1021">
                  <c:v>45972</c:v>
                </c:pt>
                <c:pt idx="1022">
                  <c:v>45973</c:v>
                </c:pt>
                <c:pt idx="1023">
                  <c:v>45974</c:v>
                </c:pt>
                <c:pt idx="1024">
                  <c:v>45975</c:v>
                </c:pt>
                <c:pt idx="1025">
                  <c:v>45978</c:v>
                </c:pt>
                <c:pt idx="1026">
                  <c:v>45979</c:v>
                </c:pt>
                <c:pt idx="1027">
                  <c:v>45980</c:v>
                </c:pt>
                <c:pt idx="1028">
                  <c:v>45981</c:v>
                </c:pt>
                <c:pt idx="1029">
                  <c:v>45982</c:v>
                </c:pt>
                <c:pt idx="1030">
                  <c:v>45985</c:v>
                </c:pt>
                <c:pt idx="1031">
                  <c:v>45986</c:v>
                </c:pt>
                <c:pt idx="1032">
                  <c:v>45987</c:v>
                </c:pt>
                <c:pt idx="1033">
                  <c:v>45988</c:v>
                </c:pt>
                <c:pt idx="1034">
                  <c:v>45989</c:v>
                </c:pt>
                <c:pt idx="1035">
                  <c:v>45992</c:v>
                </c:pt>
                <c:pt idx="1036">
                  <c:v>45993</c:v>
                </c:pt>
                <c:pt idx="1037">
                  <c:v>45994</c:v>
                </c:pt>
                <c:pt idx="1038">
                  <c:v>45995</c:v>
                </c:pt>
                <c:pt idx="1039">
                  <c:v>45996</c:v>
                </c:pt>
                <c:pt idx="1040">
                  <c:v>45999</c:v>
                </c:pt>
                <c:pt idx="1041">
                  <c:v>46000</c:v>
                </c:pt>
                <c:pt idx="1042">
                  <c:v>46001</c:v>
                </c:pt>
                <c:pt idx="1043">
                  <c:v>46002</c:v>
                </c:pt>
                <c:pt idx="1044">
                  <c:v>46003</c:v>
                </c:pt>
                <c:pt idx="1045">
                  <c:v>46006</c:v>
                </c:pt>
                <c:pt idx="1046">
                  <c:v>46007</c:v>
                </c:pt>
                <c:pt idx="1047">
                  <c:v>46008</c:v>
                </c:pt>
                <c:pt idx="1048">
                  <c:v>46009</c:v>
                </c:pt>
                <c:pt idx="1049">
                  <c:v>46010</c:v>
                </c:pt>
                <c:pt idx="1050">
                  <c:v>46013</c:v>
                </c:pt>
                <c:pt idx="1051">
                  <c:v>46014</c:v>
                </c:pt>
                <c:pt idx="1052">
                  <c:v>46015</c:v>
                </c:pt>
                <c:pt idx="1053">
                  <c:v>46016</c:v>
                </c:pt>
                <c:pt idx="1054">
                  <c:v>46017</c:v>
                </c:pt>
                <c:pt idx="1055">
                  <c:v>46020</c:v>
                </c:pt>
                <c:pt idx="1056">
                  <c:v>46021</c:v>
                </c:pt>
                <c:pt idx="1057">
                  <c:v>46022</c:v>
                </c:pt>
                <c:pt idx="1058">
                  <c:v>46023</c:v>
                </c:pt>
                <c:pt idx="1059">
                  <c:v>46024</c:v>
                </c:pt>
                <c:pt idx="1060">
                  <c:v>46027</c:v>
                </c:pt>
                <c:pt idx="1061">
                  <c:v>46028</c:v>
                </c:pt>
                <c:pt idx="1062">
                  <c:v>46029</c:v>
                </c:pt>
                <c:pt idx="1063">
                  <c:v>46030</c:v>
                </c:pt>
                <c:pt idx="1064">
                  <c:v>46031</c:v>
                </c:pt>
                <c:pt idx="1065">
                  <c:v>46034</c:v>
                </c:pt>
                <c:pt idx="1066">
                  <c:v>46035</c:v>
                </c:pt>
                <c:pt idx="1067">
                  <c:v>46036</c:v>
                </c:pt>
                <c:pt idx="1068">
                  <c:v>46037</c:v>
                </c:pt>
                <c:pt idx="1069">
                  <c:v>46038</c:v>
                </c:pt>
                <c:pt idx="1070">
                  <c:v>46041</c:v>
                </c:pt>
                <c:pt idx="1071">
                  <c:v>46042</c:v>
                </c:pt>
                <c:pt idx="1072">
                  <c:v>46043</c:v>
                </c:pt>
                <c:pt idx="1073">
                  <c:v>46044</c:v>
                </c:pt>
                <c:pt idx="1074">
                  <c:v>46045</c:v>
                </c:pt>
                <c:pt idx="1075">
                  <c:v>46048</c:v>
                </c:pt>
                <c:pt idx="1076">
                  <c:v>46049</c:v>
                </c:pt>
                <c:pt idx="1077">
                  <c:v>46050</c:v>
                </c:pt>
                <c:pt idx="1078">
                  <c:v>46051</c:v>
                </c:pt>
                <c:pt idx="1079">
                  <c:v>46052</c:v>
                </c:pt>
                <c:pt idx="1080">
                  <c:v>46055</c:v>
                </c:pt>
                <c:pt idx="1081">
                  <c:v>46056</c:v>
                </c:pt>
                <c:pt idx="1082">
                  <c:v>46057</c:v>
                </c:pt>
                <c:pt idx="1083">
                  <c:v>46058</c:v>
                </c:pt>
                <c:pt idx="1084">
                  <c:v>46059</c:v>
                </c:pt>
                <c:pt idx="1085">
                  <c:v>46062</c:v>
                </c:pt>
                <c:pt idx="1086">
                  <c:v>46063</c:v>
                </c:pt>
                <c:pt idx="1087">
                  <c:v>46064</c:v>
                </c:pt>
                <c:pt idx="1088">
                  <c:v>46065</c:v>
                </c:pt>
                <c:pt idx="1089">
                  <c:v>46066</c:v>
                </c:pt>
                <c:pt idx="1090">
                  <c:v>46069</c:v>
                </c:pt>
                <c:pt idx="1091">
                  <c:v>46070</c:v>
                </c:pt>
                <c:pt idx="1092">
                  <c:v>46071</c:v>
                </c:pt>
                <c:pt idx="1093">
                  <c:v>46072</c:v>
                </c:pt>
                <c:pt idx="1094">
                  <c:v>46073</c:v>
                </c:pt>
                <c:pt idx="1095">
                  <c:v>46076</c:v>
                </c:pt>
                <c:pt idx="1096">
                  <c:v>46077</c:v>
                </c:pt>
                <c:pt idx="1097">
                  <c:v>46078</c:v>
                </c:pt>
                <c:pt idx="1098">
                  <c:v>46079</c:v>
                </c:pt>
                <c:pt idx="1099">
                  <c:v>46080</c:v>
                </c:pt>
              </c:numCache>
            </c:numRef>
          </c:cat>
          <c:val>
            <c:numRef>
              <c:f>'D2'!$C$2:$C$1101</c:f>
              <c:numCache>
                <c:formatCode>0.0%</c:formatCode>
                <c:ptCount val="1100"/>
                <c:pt idx="0">
                  <c:v>0</c:v>
                </c:pt>
                <c:pt idx="1">
                  <c:v>-9.3252879868347405E-3</c:v>
                </c:pt>
                <c:pt idx="2">
                  <c:v>-8.0609555409870692E-3</c:v>
                </c:pt>
                <c:pt idx="3">
                  <c:v>-6.8367606331026787E-3</c:v>
                </c:pt>
                <c:pt idx="4">
                  <c:v>4.7830566073077119E-3</c:v>
                </c:pt>
                <c:pt idx="5">
                  <c:v>-6.4220060741460028E-4</c:v>
                </c:pt>
                <c:pt idx="6">
                  <c:v>-1.5185368529494481E-3</c:v>
                </c:pt>
                <c:pt idx="7">
                  <c:v>3.6525159546714203E-3</c:v>
                </c:pt>
                <c:pt idx="8">
                  <c:v>1.4422755308189483E-2</c:v>
                </c:pt>
                <c:pt idx="9">
                  <c:v>1.4442824077171235E-2</c:v>
                </c:pt>
                <c:pt idx="10">
                  <c:v>2.6122847624526768E-2</c:v>
                </c:pt>
                <c:pt idx="11">
                  <c:v>3.0123222241547731E-2</c:v>
                </c:pt>
                <c:pt idx="12">
                  <c:v>3.3568360916741424E-2</c:v>
                </c:pt>
                <c:pt idx="13">
                  <c:v>3.2611749595279793E-2</c:v>
                </c:pt>
                <c:pt idx="14">
                  <c:v>4.8613248063363868E-2</c:v>
                </c:pt>
                <c:pt idx="15">
                  <c:v>3.625088637063012E-2</c:v>
                </c:pt>
                <c:pt idx="16">
                  <c:v>3.1467829763322408E-2</c:v>
                </c:pt>
                <c:pt idx="17">
                  <c:v>3.551503150796731E-2</c:v>
                </c:pt>
                <c:pt idx="18">
                  <c:v>2.5754920193195252E-2</c:v>
                </c:pt>
                <c:pt idx="19">
                  <c:v>3.2277270112251344E-2</c:v>
                </c:pt>
                <c:pt idx="20">
                  <c:v>3.7000120412614024E-2</c:v>
                </c:pt>
                <c:pt idx="21">
                  <c:v>4.6445821013339161E-2</c:v>
                </c:pt>
                <c:pt idx="22">
                  <c:v>4.5716655740337009E-2</c:v>
                </c:pt>
                <c:pt idx="23">
                  <c:v>4.9937786816156793E-2</c:v>
                </c:pt>
                <c:pt idx="24">
                  <c:v>4.0451948677468152E-2</c:v>
                </c:pt>
                <c:pt idx="25">
                  <c:v>3.2150167908700622E-2</c:v>
                </c:pt>
                <c:pt idx="26">
                  <c:v>3.2150167908700622E-2</c:v>
                </c:pt>
                <c:pt idx="27">
                  <c:v>2.3727974526042583E-2</c:v>
                </c:pt>
                <c:pt idx="28">
                  <c:v>2.2002060393615519E-2</c:v>
                </c:pt>
                <c:pt idx="29">
                  <c:v>2.1540478707036126E-2</c:v>
                </c:pt>
                <c:pt idx="30">
                  <c:v>1.8061892083539588E-2</c:v>
                </c:pt>
                <c:pt idx="31">
                  <c:v>9.3988734731011991E-3</c:v>
                </c:pt>
                <c:pt idx="32">
                  <c:v>1.3981242390591841E-2</c:v>
                </c:pt>
                <c:pt idx="33">
                  <c:v>1.4135102952784973E-2</c:v>
                </c:pt>
                <c:pt idx="34">
                  <c:v>1.6831007585994762E-2</c:v>
                </c:pt>
                <c:pt idx="35">
                  <c:v>1.1646575599052911E-2</c:v>
                </c:pt>
                <c:pt idx="36">
                  <c:v>1.1646575599052911E-2</c:v>
                </c:pt>
                <c:pt idx="37">
                  <c:v>1.1646575599052911E-2</c:v>
                </c:pt>
                <c:pt idx="38">
                  <c:v>2.0650763282180407E-2</c:v>
                </c:pt>
                <c:pt idx="39">
                  <c:v>1.8663955152991019E-2</c:v>
                </c:pt>
                <c:pt idx="40">
                  <c:v>2.3942041395180969E-2</c:v>
                </c:pt>
                <c:pt idx="41">
                  <c:v>2.3567424374188795E-2</c:v>
                </c:pt>
                <c:pt idx="42">
                  <c:v>3.7896525427130401E-2</c:v>
                </c:pt>
                <c:pt idx="43">
                  <c:v>5.0332472606130274E-2</c:v>
                </c:pt>
                <c:pt idx="44">
                  <c:v>5.6212621917771655E-2</c:v>
                </c:pt>
                <c:pt idx="45">
                  <c:v>5.9523968799753746E-2</c:v>
                </c:pt>
                <c:pt idx="46">
                  <c:v>7.0073451694472988E-2</c:v>
                </c:pt>
                <c:pt idx="47">
                  <c:v>7.2475014382617831E-2</c:v>
                </c:pt>
                <c:pt idx="48">
                  <c:v>7.3692519700841563E-2</c:v>
                </c:pt>
                <c:pt idx="49">
                  <c:v>7.2374670537709296E-2</c:v>
                </c:pt>
                <c:pt idx="50">
                  <c:v>5.8754665988788313E-2</c:v>
                </c:pt>
                <c:pt idx="51">
                  <c:v>5.4921531113281574E-2</c:v>
                </c:pt>
                <c:pt idx="52">
                  <c:v>6.1062574421685056E-2</c:v>
                </c:pt>
                <c:pt idx="53">
                  <c:v>5.2867827087486496E-2</c:v>
                </c:pt>
                <c:pt idx="54">
                  <c:v>6.479536545228326E-2</c:v>
                </c:pt>
                <c:pt idx="55">
                  <c:v>7.5873325930187585E-2</c:v>
                </c:pt>
                <c:pt idx="56">
                  <c:v>6.7952851772072442E-2</c:v>
                </c:pt>
                <c:pt idx="57">
                  <c:v>6.9063323655726983E-2</c:v>
                </c:pt>
                <c:pt idx="58">
                  <c:v>8.2736844921932562E-2</c:v>
                </c:pt>
                <c:pt idx="59">
                  <c:v>7.2970044017500069E-2</c:v>
                </c:pt>
                <c:pt idx="60">
                  <c:v>5.1978111662630555E-2</c:v>
                </c:pt>
                <c:pt idx="61">
                  <c:v>3.4792555824625815E-2</c:v>
                </c:pt>
                <c:pt idx="62">
                  <c:v>4.513466143986733E-2</c:v>
                </c:pt>
                <c:pt idx="63">
                  <c:v>5.7309714622105101E-2</c:v>
                </c:pt>
                <c:pt idx="64">
                  <c:v>4.9074829749943261E-2</c:v>
                </c:pt>
                <c:pt idx="65">
                  <c:v>4.8553041756418835E-2</c:v>
                </c:pt>
                <c:pt idx="66">
                  <c:v>4.1843383326866768E-2</c:v>
                </c:pt>
                <c:pt idx="67">
                  <c:v>5.1148602544719868E-2</c:v>
                </c:pt>
                <c:pt idx="68">
                  <c:v>6.4233439920795332E-2</c:v>
                </c:pt>
                <c:pt idx="69">
                  <c:v>6.4487644327896998E-2</c:v>
                </c:pt>
                <c:pt idx="70">
                  <c:v>6.174491256706327E-2</c:v>
                </c:pt>
                <c:pt idx="71">
                  <c:v>6.0841817962886235E-2</c:v>
                </c:pt>
                <c:pt idx="72">
                  <c:v>6.8916152683194509E-2</c:v>
                </c:pt>
                <c:pt idx="73">
                  <c:v>6.9645317956196662E-2</c:v>
                </c:pt>
                <c:pt idx="74">
                  <c:v>7.254191027922352E-2</c:v>
                </c:pt>
                <c:pt idx="75">
                  <c:v>6.8962979810818448E-2</c:v>
                </c:pt>
                <c:pt idx="76">
                  <c:v>5.9243006034009893E-2</c:v>
                </c:pt>
                <c:pt idx="77">
                  <c:v>5.9109214240798513E-2</c:v>
                </c:pt>
                <c:pt idx="78">
                  <c:v>6.187870436027465E-2</c:v>
                </c:pt>
                <c:pt idx="79">
                  <c:v>7.1946536799432748E-2</c:v>
                </c:pt>
                <c:pt idx="80">
                  <c:v>6.9611870007893817E-2</c:v>
                </c:pt>
                <c:pt idx="81">
                  <c:v>6.8186987410192357E-2</c:v>
                </c:pt>
                <c:pt idx="82">
                  <c:v>7.3491832011024494E-2</c:v>
                </c:pt>
                <c:pt idx="83">
                  <c:v>7.0862823274420395E-2</c:v>
                </c:pt>
                <c:pt idx="84">
                  <c:v>7.5211056553791122E-2</c:v>
                </c:pt>
                <c:pt idx="85">
                  <c:v>7.3418246524758146E-2</c:v>
                </c:pt>
                <c:pt idx="86">
                  <c:v>6.8414433458651835E-2</c:v>
                </c:pt>
                <c:pt idx="87">
                  <c:v>6.844788140695468E-2</c:v>
                </c:pt>
                <c:pt idx="88">
                  <c:v>6.7457822137190204E-2</c:v>
                </c:pt>
                <c:pt idx="89">
                  <c:v>6.2982486654268754E-2</c:v>
                </c:pt>
                <c:pt idx="90">
                  <c:v>5.7717779591399898E-2</c:v>
                </c:pt>
                <c:pt idx="91">
                  <c:v>5.7717779591399898E-2</c:v>
                </c:pt>
                <c:pt idx="92">
                  <c:v>6.615335215337903E-2</c:v>
                </c:pt>
                <c:pt idx="93">
                  <c:v>6.9210494628259456E-2</c:v>
                </c:pt>
                <c:pt idx="94">
                  <c:v>7.1652194854367801E-2</c:v>
                </c:pt>
                <c:pt idx="95">
                  <c:v>6.3631376851344124E-2</c:v>
                </c:pt>
                <c:pt idx="96">
                  <c:v>6.8113401923926009E-2</c:v>
                </c:pt>
                <c:pt idx="97">
                  <c:v>6.0955540987115864E-2</c:v>
                </c:pt>
                <c:pt idx="98">
                  <c:v>6.85348460725419E-2</c:v>
                </c:pt>
                <c:pt idx="99">
                  <c:v>7.0621998046640044E-2</c:v>
                </c:pt>
                <c:pt idx="100">
                  <c:v>7.0621998046640044E-2</c:v>
                </c:pt>
                <c:pt idx="101">
                  <c:v>7.0621998046640044E-2</c:v>
                </c:pt>
                <c:pt idx="102">
                  <c:v>7.0621998046640044E-2</c:v>
                </c:pt>
                <c:pt idx="103">
                  <c:v>5.8948664088944946E-2</c:v>
                </c:pt>
                <c:pt idx="104">
                  <c:v>4.6479268961642006E-2</c:v>
                </c:pt>
                <c:pt idx="105">
                  <c:v>3.6337851036217561E-2</c:v>
                </c:pt>
                <c:pt idx="106">
                  <c:v>3.9950229452925479E-2</c:v>
                </c:pt>
                <c:pt idx="107">
                  <c:v>4.0853324057102514E-2</c:v>
                </c:pt>
                <c:pt idx="108">
                  <c:v>2.9394056968545579E-2</c:v>
                </c:pt>
                <c:pt idx="109">
                  <c:v>3.3146916768125534E-2</c:v>
                </c:pt>
                <c:pt idx="110">
                  <c:v>3.3146916768125534E-2</c:v>
                </c:pt>
                <c:pt idx="111">
                  <c:v>3.5949854835904294E-2</c:v>
                </c:pt>
                <c:pt idx="112">
                  <c:v>4.01709859117243E-2</c:v>
                </c:pt>
                <c:pt idx="113">
                  <c:v>3.6491711598410692E-2</c:v>
                </c:pt>
                <c:pt idx="114">
                  <c:v>3.6297713498254058E-2</c:v>
                </c:pt>
                <c:pt idx="115">
                  <c:v>3.1889273911938298E-2</c:v>
                </c:pt>
                <c:pt idx="116">
                  <c:v>2.4376864723117952E-2</c:v>
                </c:pt>
                <c:pt idx="117">
                  <c:v>2.7226629918520873E-2</c:v>
                </c:pt>
                <c:pt idx="118">
                  <c:v>3.0966110538779734E-2</c:v>
                </c:pt>
                <c:pt idx="119">
                  <c:v>3.4718970338359467E-2</c:v>
                </c:pt>
                <c:pt idx="120">
                  <c:v>3.2217063805306312E-2</c:v>
                </c:pt>
                <c:pt idx="121">
                  <c:v>5.0332472606130274E-2</c:v>
                </c:pt>
                <c:pt idx="122">
                  <c:v>3.916754746263873E-2</c:v>
                </c:pt>
                <c:pt idx="123">
                  <c:v>3.6819501491778706E-2</c:v>
                </c:pt>
                <c:pt idx="124">
                  <c:v>2.874516677147021E-2</c:v>
                </c:pt>
                <c:pt idx="125">
                  <c:v>2.874516677147021E-2</c:v>
                </c:pt>
                <c:pt idx="126">
                  <c:v>2.0784555075391786E-2</c:v>
                </c:pt>
                <c:pt idx="127">
                  <c:v>1.9399810015653607E-2</c:v>
                </c:pt>
                <c:pt idx="128">
                  <c:v>9.9340406459469399E-3</c:v>
                </c:pt>
                <c:pt idx="129">
                  <c:v>-6.0875265911175536E-4</c:v>
                </c:pt>
                <c:pt idx="130">
                  <c:v>-2.0088837750692368E-2</c:v>
                </c:pt>
                <c:pt idx="131">
                  <c:v>-9.0844627590542792E-3</c:v>
                </c:pt>
                <c:pt idx="132">
                  <c:v>-2.3955420574501951E-2</c:v>
                </c:pt>
                <c:pt idx="133">
                  <c:v>-1.4777303560199573E-2</c:v>
                </c:pt>
                <c:pt idx="134">
                  <c:v>-2.5500715786093586E-2</c:v>
                </c:pt>
                <c:pt idx="135">
                  <c:v>-3.5869579759977399E-2</c:v>
                </c:pt>
                <c:pt idx="136">
                  <c:v>-2.4738102564788589E-2</c:v>
                </c:pt>
                <c:pt idx="137">
                  <c:v>-4.2652823675795704E-2</c:v>
                </c:pt>
                <c:pt idx="138">
                  <c:v>-4.2686271624098548E-2</c:v>
                </c:pt>
                <c:pt idx="139">
                  <c:v>-3.8906653465876295E-2</c:v>
                </c:pt>
                <c:pt idx="140">
                  <c:v>-3.7956731734075433E-2</c:v>
                </c:pt>
                <c:pt idx="141">
                  <c:v>-2.6838633718207605E-2</c:v>
                </c:pt>
                <c:pt idx="142">
                  <c:v>-2.9019439947553516E-2</c:v>
                </c:pt>
                <c:pt idx="143">
                  <c:v>-3.3876082041127464E-2</c:v>
                </c:pt>
                <c:pt idx="144">
                  <c:v>-3.0183428548492763E-2</c:v>
                </c:pt>
                <c:pt idx="145">
                  <c:v>-3.8358107113709572E-2</c:v>
                </c:pt>
                <c:pt idx="146">
                  <c:v>-3.6157232115382021E-2</c:v>
                </c:pt>
                <c:pt idx="147">
                  <c:v>-4.9509653077880245E-2</c:v>
                </c:pt>
                <c:pt idx="148">
                  <c:v>-5.0954604444563234E-2</c:v>
                </c:pt>
                <c:pt idx="149">
                  <c:v>-4.6204995785558478E-2</c:v>
                </c:pt>
                <c:pt idx="150">
                  <c:v>-4.6204995785558478E-2</c:v>
                </c:pt>
                <c:pt idx="151">
                  <c:v>-4.6010997685401955E-2</c:v>
                </c:pt>
                <c:pt idx="152">
                  <c:v>-5.5884832024403641E-2</c:v>
                </c:pt>
                <c:pt idx="153">
                  <c:v>-5.0038130661065217E-2</c:v>
                </c:pt>
                <c:pt idx="154">
                  <c:v>-5.112184418607757E-2</c:v>
                </c:pt>
                <c:pt idx="155">
                  <c:v>-4.3696399662844665E-2</c:v>
                </c:pt>
                <c:pt idx="156">
                  <c:v>-4.421818765636909E-2</c:v>
                </c:pt>
                <c:pt idx="157">
                  <c:v>-3.8719344955380319E-2</c:v>
                </c:pt>
                <c:pt idx="158">
                  <c:v>-2.9795432348179718E-2</c:v>
                </c:pt>
                <c:pt idx="159">
                  <c:v>-1.9439947553616999E-2</c:v>
                </c:pt>
                <c:pt idx="160">
                  <c:v>-1.7152107889702006E-2</c:v>
                </c:pt>
                <c:pt idx="161">
                  <c:v>-2.0851450971997254E-2</c:v>
                </c:pt>
                <c:pt idx="162">
                  <c:v>-1.6155359030276983E-2</c:v>
                </c:pt>
                <c:pt idx="163">
                  <c:v>-2.4483898157685591E-3</c:v>
                </c:pt>
                <c:pt idx="164">
                  <c:v>-1.7593620807299093E-3</c:v>
                </c:pt>
                <c:pt idx="165">
                  <c:v>4.8231941452712146E-3</c:v>
                </c:pt>
                <c:pt idx="166">
                  <c:v>1.2710220355094393E-4</c:v>
                </c:pt>
                <c:pt idx="167">
                  <c:v>-2.8698339643845605E-3</c:v>
                </c:pt>
                <c:pt idx="168">
                  <c:v>8.596122713832921E-3</c:v>
                </c:pt>
                <c:pt idx="169">
                  <c:v>4.4753354829214498E-3</c:v>
                </c:pt>
                <c:pt idx="170">
                  <c:v>7.8268199028674879E-4</c:v>
                </c:pt>
                <c:pt idx="171">
                  <c:v>1.8864642842808532E-3</c:v>
                </c:pt>
                <c:pt idx="172">
                  <c:v>-1.6924661841242195E-3</c:v>
                </c:pt>
                <c:pt idx="173">
                  <c:v>7.1578609368101453E-3</c:v>
                </c:pt>
                <c:pt idx="174">
                  <c:v>7.5793050854262578E-3</c:v>
                </c:pt>
                <c:pt idx="175">
                  <c:v>6.1209745394217308E-3</c:v>
                </c:pt>
                <c:pt idx="176">
                  <c:v>1.6001498468084074E-2</c:v>
                </c:pt>
                <c:pt idx="177">
                  <c:v>1.5586743909128842E-2</c:v>
                </c:pt>
                <c:pt idx="178">
                  <c:v>1.4556547101400863E-2</c:v>
                </c:pt>
                <c:pt idx="179">
                  <c:v>6.4086268948264635E-3</c:v>
                </c:pt>
                <c:pt idx="180">
                  <c:v>-5.0105026557670795E-3</c:v>
                </c:pt>
                <c:pt idx="181">
                  <c:v>-8.2215056928407471E-3</c:v>
                </c:pt>
                <c:pt idx="182">
                  <c:v>-1.8463267463173727E-2</c:v>
                </c:pt>
                <c:pt idx="183">
                  <c:v>4.2144414861589041E-4</c:v>
                </c:pt>
                <c:pt idx="184">
                  <c:v>3.632447185689669E-3</c:v>
                </c:pt>
                <c:pt idx="185">
                  <c:v>4.4887146622425433E-3</c:v>
                </c:pt>
                <c:pt idx="186">
                  <c:v>1.1499404626520215E-2</c:v>
                </c:pt>
                <c:pt idx="187">
                  <c:v>1.1499404626520215E-2</c:v>
                </c:pt>
                <c:pt idx="188">
                  <c:v>-1.9466705912258853E-3</c:v>
                </c:pt>
                <c:pt idx="189">
                  <c:v>-2.4617689950897637E-3</c:v>
                </c:pt>
                <c:pt idx="190">
                  <c:v>-3.3849323682485499E-3</c:v>
                </c:pt>
                <c:pt idx="191">
                  <c:v>-4.4084395863157599E-3</c:v>
                </c:pt>
                <c:pt idx="192">
                  <c:v>-2.3480459708601353E-3</c:v>
                </c:pt>
                <c:pt idx="193">
                  <c:v>-8.6964665587330181E-5</c:v>
                </c:pt>
                <c:pt idx="194">
                  <c:v>1.117161473315198E-3</c:v>
                </c:pt>
                <c:pt idx="195">
                  <c:v>2.0737727947768292E-3</c:v>
                </c:pt>
                <c:pt idx="196">
                  <c:v>-4.6960919417202707E-3</c:v>
                </c:pt>
                <c:pt idx="197">
                  <c:v>-1.7673895883226431E-2</c:v>
                </c:pt>
                <c:pt idx="198">
                  <c:v>-1.8429819514870882E-2</c:v>
                </c:pt>
                <c:pt idx="199">
                  <c:v>-1.8429819514870882E-2</c:v>
                </c:pt>
                <c:pt idx="200">
                  <c:v>-2.8992681588911329E-2</c:v>
                </c:pt>
                <c:pt idx="201">
                  <c:v>-2.2584054694085087E-2</c:v>
                </c:pt>
                <c:pt idx="202">
                  <c:v>-3.1895963501598734E-2</c:v>
                </c:pt>
                <c:pt idx="203">
                  <c:v>-3.7261014409376014E-2</c:v>
                </c:pt>
                <c:pt idx="204">
                  <c:v>-4.6746852548064655E-2</c:v>
                </c:pt>
                <c:pt idx="205">
                  <c:v>-5.4734222602785487E-2</c:v>
                </c:pt>
                <c:pt idx="206">
                  <c:v>-5.6185863559129245E-2</c:v>
                </c:pt>
                <c:pt idx="207">
                  <c:v>-6.2193115074321237E-2</c:v>
                </c:pt>
                <c:pt idx="208">
                  <c:v>-6.5129844935311598E-2</c:v>
                </c:pt>
                <c:pt idx="209">
                  <c:v>-6.7049757167895185E-2</c:v>
                </c:pt>
                <c:pt idx="210">
                  <c:v>-6.5049569859384815E-2</c:v>
                </c:pt>
                <c:pt idx="211">
                  <c:v>-5.7195991597875362E-2</c:v>
                </c:pt>
                <c:pt idx="212">
                  <c:v>-4.9710340767697314E-2</c:v>
                </c:pt>
                <c:pt idx="213">
                  <c:v>-4.9790615843624098E-2</c:v>
                </c:pt>
                <c:pt idx="214">
                  <c:v>-5.9443693723826962E-2</c:v>
                </c:pt>
                <c:pt idx="215">
                  <c:v>-5.9443693723826962E-2</c:v>
                </c:pt>
                <c:pt idx="216">
                  <c:v>-7.227432669280065E-2</c:v>
                </c:pt>
                <c:pt idx="217">
                  <c:v>-7.6455320230657042E-2</c:v>
                </c:pt>
                <c:pt idx="218">
                  <c:v>-8.1278514375928146E-2</c:v>
                </c:pt>
                <c:pt idx="219">
                  <c:v>-7.5184298195148602E-2</c:v>
                </c:pt>
                <c:pt idx="220">
                  <c:v>-7.2642254124131944E-2</c:v>
                </c:pt>
                <c:pt idx="221">
                  <c:v>-6.3216622292388558E-2</c:v>
                </c:pt>
                <c:pt idx="222">
                  <c:v>-5.3356167132708077E-2</c:v>
                </c:pt>
                <c:pt idx="223">
                  <c:v>-3.8224315320498192E-2</c:v>
                </c:pt>
                <c:pt idx="224">
                  <c:v>-3.2404372315802066E-2</c:v>
                </c:pt>
                <c:pt idx="225">
                  <c:v>-3.2404372315802066E-2</c:v>
                </c:pt>
                <c:pt idx="226">
                  <c:v>-3.3748979837576631E-2</c:v>
                </c:pt>
                <c:pt idx="227">
                  <c:v>-2.6678083566353927E-2</c:v>
                </c:pt>
                <c:pt idx="228">
                  <c:v>-2.7273457046144811E-2</c:v>
                </c:pt>
                <c:pt idx="229">
                  <c:v>-3.1808998836011404E-2</c:v>
                </c:pt>
                <c:pt idx="230">
                  <c:v>-2.306570514964601E-2</c:v>
                </c:pt>
                <c:pt idx="231">
                  <c:v>-3.2738851798830515E-2</c:v>
                </c:pt>
                <c:pt idx="232">
                  <c:v>-2.8932475281966186E-2</c:v>
                </c:pt>
                <c:pt idx="233">
                  <c:v>-4.9824063791926831E-2</c:v>
                </c:pt>
                <c:pt idx="234">
                  <c:v>-3.784969829950624E-2</c:v>
                </c:pt>
                <c:pt idx="235">
                  <c:v>-3.5280895869847395E-2</c:v>
                </c:pt>
                <c:pt idx="236">
                  <c:v>-3.5795994273711274E-2</c:v>
                </c:pt>
                <c:pt idx="237">
                  <c:v>-3.2558232877995197E-2</c:v>
                </c:pt>
                <c:pt idx="238">
                  <c:v>-3.0183428548492763E-2</c:v>
                </c:pt>
                <c:pt idx="239">
                  <c:v>-1.7827756445419563E-2</c:v>
                </c:pt>
                <c:pt idx="240">
                  <c:v>-2.0644073692519638E-2</c:v>
                </c:pt>
                <c:pt idx="241">
                  <c:v>-2.9648261375647134E-2</c:v>
                </c:pt>
                <c:pt idx="242">
                  <c:v>-3.1093212742330234E-2</c:v>
                </c:pt>
                <c:pt idx="243">
                  <c:v>-3.0464391314236727E-2</c:v>
                </c:pt>
                <c:pt idx="244">
                  <c:v>-3.0464391314236727E-2</c:v>
                </c:pt>
                <c:pt idx="245">
                  <c:v>-3.1374175508074198E-2</c:v>
                </c:pt>
                <c:pt idx="246">
                  <c:v>-3.5836131811674665E-2</c:v>
                </c:pt>
                <c:pt idx="247">
                  <c:v>-3.4357732496688609E-2</c:v>
                </c:pt>
                <c:pt idx="248">
                  <c:v>4.6960919417204927E-3</c:v>
                </c:pt>
                <c:pt idx="249">
                  <c:v>-5.5657385975943496E-3</c:v>
                </c:pt>
                <c:pt idx="250">
                  <c:v>-5.5657385975943496E-3</c:v>
                </c:pt>
                <c:pt idx="251">
                  <c:v>-1.1974365492420591E-2</c:v>
                </c:pt>
                <c:pt idx="252">
                  <c:v>-4.0538913343055594E-3</c:v>
                </c:pt>
                <c:pt idx="253">
                  <c:v>-2.2410125362909428E-3</c:v>
                </c:pt>
                <c:pt idx="254">
                  <c:v>-8.7366040967046255E-3</c:v>
                </c:pt>
                <c:pt idx="255">
                  <c:v>-1.558674390912862E-2</c:v>
                </c:pt>
                <c:pt idx="256">
                  <c:v>-1.5593433498789167E-2</c:v>
                </c:pt>
                <c:pt idx="257">
                  <c:v>-1.8717471870275393E-2</c:v>
                </c:pt>
                <c:pt idx="258">
                  <c:v>-1.9352982888029557E-2</c:v>
                </c:pt>
                <c:pt idx="259">
                  <c:v>-1.182050493022746E-2</c:v>
                </c:pt>
                <c:pt idx="260">
                  <c:v>-1.3700279624847655E-2</c:v>
                </c:pt>
                <c:pt idx="261">
                  <c:v>-1.6550044820250687E-2</c:v>
                </c:pt>
                <c:pt idx="262">
                  <c:v>-7.820130313206497E-3</c:v>
                </c:pt>
                <c:pt idx="263">
                  <c:v>-1.8550232128761057E-2</c:v>
                </c:pt>
                <c:pt idx="264">
                  <c:v>-1.0917410326050536E-2</c:v>
                </c:pt>
                <c:pt idx="265">
                  <c:v>-1.1887400826833261E-2</c:v>
                </c:pt>
                <c:pt idx="266">
                  <c:v>-1.8423129925210335E-2</c:v>
                </c:pt>
                <c:pt idx="267">
                  <c:v>-2.1614064193302363E-2</c:v>
                </c:pt>
                <c:pt idx="268">
                  <c:v>-1.7734102190171686E-2</c:v>
                </c:pt>
                <c:pt idx="269">
                  <c:v>-1.3499591935030586E-2</c:v>
                </c:pt>
                <c:pt idx="270">
                  <c:v>-1.3499591935030586E-2</c:v>
                </c:pt>
                <c:pt idx="271">
                  <c:v>-1.3492902345370039E-2</c:v>
                </c:pt>
                <c:pt idx="272">
                  <c:v>-9.867144749341028E-3</c:v>
                </c:pt>
                <c:pt idx="273">
                  <c:v>-2.1607374603640483E-3</c:v>
                </c:pt>
                <c:pt idx="274">
                  <c:v>4.2144414861589041E-4</c:v>
                </c:pt>
                <c:pt idx="275">
                  <c:v>4.2144414861589041E-4</c:v>
                </c:pt>
                <c:pt idx="276">
                  <c:v>-1.3961173621609979E-2</c:v>
                </c:pt>
                <c:pt idx="277">
                  <c:v>-1.4175240490748142E-2</c:v>
                </c:pt>
                <c:pt idx="278">
                  <c:v>-9.3185983971741937E-3</c:v>
                </c:pt>
                <c:pt idx="279">
                  <c:v>-9.5728028042759705E-3</c:v>
                </c:pt>
                <c:pt idx="280">
                  <c:v>-9.6330091112195593E-4</c:v>
                </c:pt>
                <c:pt idx="281">
                  <c:v>-6.5089707397346652E-3</c:v>
                </c:pt>
                <c:pt idx="282">
                  <c:v>-4.6760231727386303E-3</c:v>
                </c:pt>
                <c:pt idx="283">
                  <c:v>-4.1475455895534363E-3</c:v>
                </c:pt>
                <c:pt idx="284">
                  <c:v>1.1372302422985037E-4</c:v>
                </c:pt>
                <c:pt idx="285">
                  <c:v>-8.6964665587407897E-4</c:v>
                </c:pt>
                <c:pt idx="286">
                  <c:v>3.0236945265778026E-3</c:v>
                </c:pt>
                <c:pt idx="287">
                  <c:v>4.2813373827654821E-4</c:v>
                </c:pt>
                <c:pt idx="288">
                  <c:v>9.0978419383769271E-4</c:v>
                </c:pt>
                <c:pt idx="289">
                  <c:v>3.6592055443318561E-3</c:v>
                </c:pt>
                <c:pt idx="290">
                  <c:v>3.6592055443318561E-3</c:v>
                </c:pt>
                <c:pt idx="291">
                  <c:v>3.6592055443318561E-3</c:v>
                </c:pt>
                <c:pt idx="292">
                  <c:v>3.0705216542017411E-3</c:v>
                </c:pt>
                <c:pt idx="293">
                  <c:v>2.3614251501813399E-3</c:v>
                </c:pt>
                <c:pt idx="294">
                  <c:v>1.799499618693412E-3</c:v>
                </c:pt>
                <c:pt idx="295">
                  <c:v>3.0303841162384604E-3</c:v>
                </c:pt>
                <c:pt idx="296">
                  <c:v>-6.2614559222936572E-3</c:v>
                </c:pt>
                <c:pt idx="297">
                  <c:v>-6.2614559222936572E-3</c:v>
                </c:pt>
                <c:pt idx="298">
                  <c:v>-3.3849323682485499E-3</c:v>
                </c:pt>
                <c:pt idx="299">
                  <c:v>-2.9367298609902504E-3</c:v>
                </c:pt>
                <c:pt idx="300">
                  <c:v>-2.9367298609902504E-3</c:v>
                </c:pt>
                <c:pt idx="301">
                  <c:v>-1.2362361692733637E-2</c:v>
                </c:pt>
                <c:pt idx="302">
                  <c:v>-1.6128600671634685E-2</c:v>
                </c:pt>
                <c:pt idx="303">
                  <c:v>-2.021593995424309E-2</c:v>
                </c:pt>
                <c:pt idx="304">
                  <c:v>-1.355979824197584E-2</c:v>
                </c:pt>
                <c:pt idx="305">
                  <c:v>-1.3171802041662684E-2</c:v>
                </c:pt>
                <c:pt idx="306">
                  <c:v>-7.2849631403608672E-3</c:v>
                </c:pt>
                <c:pt idx="307">
                  <c:v>-4.4619563036002452E-3</c:v>
                </c:pt>
                <c:pt idx="308">
                  <c:v>-7.0909650402043445E-3</c:v>
                </c:pt>
                <c:pt idx="309">
                  <c:v>-1.2014503030383983E-2</c:v>
                </c:pt>
                <c:pt idx="310">
                  <c:v>-1.431572187362018E-2</c:v>
                </c:pt>
                <c:pt idx="311">
                  <c:v>-1.3947794442288886E-2</c:v>
                </c:pt>
                <c:pt idx="312">
                  <c:v>-2.0644073692519638E-2</c:v>
                </c:pt>
                <c:pt idx="313">
                  <c:v>-2.489196312698172E-2</c:v>
                </c:pt>
                <c:pt idx="314">
                  <c:v>-2.5460578248130195E-2</c:v>
                </c:pt>
                <c:pt idx="315">
                  <c:v>-2.6330224904004274E-2</c:v>
                </c:pt>
                <c:pt idx="316">
                  <c:v>-2.720656114953901E-2</c:v>
                </c:pt>
                <c:pt idx="317">
                  <c:v>-2.9875707424106501E-2</c:v>
                </c:pt>
                <c:pt idx="318">
                  <c:v>-2.6336914493664931E-2</c:v>
                </c:pt>
                <c:pt idx="319">
                  <c:v>-2.7634694887815558E-2</c:v>
                </c:pt>
                <c:pt idx="320">
                  <c:v>-2.8216689188285127E-2</c:v>
                </c:pt>
                <c:pt idx="321">
                  <c:v>-2.4209624981603506E-2</c:v>
                </c:pt>
                <c:pt idx="322">
                  <c:v>-2.6892150435492201E-2</c:v>
                </c:pt>
                <c:pt idx="323">
                  <c:v>-3.0323909931364801E-2</c:v>
                </c:pt>
                <c:pt idx="324">
                  <c:v>-4.1328284923002778E-2</c:v>
                </c:pt>
                <c:pt idx="325">
                  <c:v>-4.8854073291144329E-2</c:v>
                </c:pt>
                <c:pt idx="326">
                  <c:v>-6.7584924340740926E-2</c:v>
                </c:pt>
                <c:pt idx="327">
                  <c:v>-6.082843878356492E-2</c:v>
                </c:pt>
                <c:pt idx="328">
                  <c:v>-6.9076702835048076E-2</c:v>
                </c:pt>
                <c:pt idx="329">
                  <c:v>-5.5610558848320224E-2</c:v>
                </c:pt>
                <c:pt idx="330">
                  <c:v>-6.2246631791605833E-2</c:v>
                </c:pt>
                <c:pt idx="331">
                  <c:v>-5.9075766292495557E-2</c:v>
                </c:pt>
                <c:pt idx="332">
                  <c:v>-5.5403181568842497E-2</c:v>
                </c:pt>
                <c:pt idx="333">
                  <c:v>-5.6112278072862898E-2</c:v>
                </c:pt>
                <c:pt idx="334">
                  <c:v>-6.3658135209986089E-2</c:v>
                </c:pt>
                <c:pt idx="335">
                  <c:v>-6.5731908004763029E-2</c:v>
                </c:pt>
                <c:pt idx="336">
                  <c:v>-5.7376610518710791E-2</c:v>
                </c:pt>
                <c:pt idx="337">
                  <c:v>-4.9844132560908694E-2</c:v>
                </c:pt>
                <c:pt idx="338">
                  <c:v>-4.6994367365505774E-2</c:v>
                </c:pt>
                <c:pt idx="339">
                  <c:v>-4.8345664476940997E-2</c:v>
                </c:pt>
                <c:pt idx="340">
                  <c:v>-4.1120907643525051E-2</c:v>
                </c:pt>
                <c:pt idx="341">
                  <c:v>-4.3649572535220726E-2</c:v>
                </c:pt>
                <c:pt idx="342">
                  <c:v>-4.3689710073184118E-2</c:v>
                </c:pt>
                <c:pt idx="343">
                  <c:v>-4.6807058855009687E-2</c:v>
                </c:pt>
                <c:pt idx="344">
                  <c:v>-4.5368797077987244E-2</c:v>
                </c:pt>
                <c:pt idx="345">
                  <c:v>-4.4639631804984981E-2</c:v>
                </c:pt>
                <c:pt idx="346">
                  <c:v>-3.9448510228382472E-2</c:v>
                </c:pt>
                <c:pt idx="347">
                  <c:v>-4.0217813039348127E-2</c:v>
                </c:pt>
                <c:pt idx="348">
                  <c:v>-4.0565671701697781E-2</c:v>
                </c:pt>
                <c:pt idx="349">
                  <c:v>-3.9956919042585803E-2</c:v>
                </c:pt>
                <c:pt idx="350">
                  <c:v>-4.0110779604778934E-2</c:v>
                </c:pt>
                <c:pt idx="351">
                  <c:v>-4.1809935378563923E-2</c:v>
                </c:pt>
                <c:pt idx="352">
                  <c:v>-4.6686646241119512E-2</c:v>
                </c:pt>
                <c:pt idx="353">
                  <c:v>-4.8666764780648353E-2</c:v>
                </c:pt>
                <c:pt idx="354">
                  <c:v>-4.8666764780648353E-2</c:v>
                </c:pt>
                <c:pt idx="355">
                  <c:v>-4.8666764780648353E-2</c:v>
                </c:pt>
                <c:pt idx="356">
                  <c:v>-4.6606371165192617E-2</c:v>
                </c:pt>
                <c:pt idx="357">
                  <c:v>-5.392478225385644E-2</c:v>
                </c:pt>
                <c:pt idx="358">
                  <c:v>-5.1382738182839782E-2</c:v>
                </c:pt>
                <c:pt idx="359">
                  <c:v>-5.2787552011559491E-2</c:v>
                </c:pt>
                <c:pt idx="360">
                  <c:v>-5.2787552011559491E-2</c:v>
                </c:pt>
                <c:pt idx="361">
                  <c:v>-4.5990928916420315E-2</c:v>
                </c:pt>
                <c:pt idx="362">
                  <c:v>-4.6071203992346987E-2</c:v>
                </c:pt>
                <c:pt idx="363">
                  <c:v>-4.6071203992346987E-2</c:v>
                </c:pt>
                <c:pt idx="364">
                  <c:v>-4.2692961213759095E-2</c:v>
                </c:pt>
                <c:pt idx="365">
                  <c:v>-4.0886772005405136E-2</c:v>
                </c:pt>
                <c:pt idx="366">
                  <c:v>-4.1629316457728383E-2</c:v>
                </c:pt>
                <c:pt idx="367">
                  <c:v>-4.6278581271824715E-2</c:v>
                </c:pt>
                <c:pt idx="368">
                  <c:v>-4.6613060754853164E-2</c:v>
                </c:pt>
                <c:pt idx="369">
                  <c:v>-4.8124908018142065E-2</c:v>
                </c:pt>
                <c:pt idx="370">
                  <c:v>-5.1837630279758629E-2</c:v>
                </c:pt>
                <c:pt idx="371">
                  <c:v>-4.773691181782902E-2</c:v>
                </c:pt>
                <c:pt idx="372">
                  <c:v>-4.7174986286341203E-2</c:v>
                </c:pt>
                <c:pt idx="373">
                  <c:v>-4.4699838111930124E-2</c:v>
                </c:pt>
                <c:pt idx="374">
                  <c:v>-4.4365358628901674E-2</c:v>
                </c:pt>
                <c:pt idx="375">
                  <c:v>-5.0747227165085618E-2</c:v>
                </c:pt>
                <c:pt idx="376">
                  <c:v>-5.5737661051871057E-2</c:v>
                </c:pt>
                <c:pt idx="377">
                  <c:v>-5.7022062266700591E-2</c:v>
                </c:pt>
                <c:pt idx="378">
                  <c:v>-6.1798429284347645E-2</c:v>
                </c:pt>
                <c:pt idx="379">
                  <c:v>-6.1463949801319084E-2</c:v>
                </c:pt>
                <c:pt idx="380">
                  <c:v>-6.015947981750791E-2</c:v>
                </c:pt>
                <c:pt idx="381">
                  <c:v>-6.5524530725285191E-2</c:v>
                </c:pt>
                <c:pt idx="382">
                  <c:v>-7.2073639002983581E-2</c:v>
                </c:pt>
                <c:pt idx="383">
                  <c:v>-7.4823060353477855E-2</c:v>
                </c:pt>
                <c:pt idx="384">
                  <c:v>-7.5993738544077649E-2</c:v>
                </c:pt>
                <c:pt idx="385">
                  <c:v>-7.5993738544077649E-2</c:v>
                </c:pt>
                <c:pt idx="386">
                  <c:v>-7.4716026918908662E-2</c:v>
                </c:pt>
                <c:pt idx="387">
                  <c:v>-7.7739721445486465E-2</c:v>
                </c:pt>
                <c:pt idx="388">
                  <c:v>-8.0422246899375049E-2</c:v>
                </c:pt>
                <c:pt idx="389">
                  <c:v>-7.9458945988253094E-2</c:v>
                </c:pt>
                <c:pt idx="390">
                  <c:v>-7.2307774641103495E-2</c:v>
                </c:pt>
                <c:pt idx="391">
                  <c:v>-7.6428561872014744E-2</c:v>
                </c:pt>
                <c:pt idx="392">
                  <c:v>-7.3210869245280419E-2</c:v>
                </c:pt>
                <c:pt idx="393">
                  <c:v>-7.567932783003084E-2</c:v>
                </c:pt>
                <c:pt idx="394">
                  <c:v>-7.1076890143558558E-2</c:v>
                </c:pt>
                <c:pt idx="395">
                  <c:v>-7.1933157620111543E-2</c:v>
                </c:pt>
                <c:pt idx="396">
                  <c:v>-7.1264198654054534E-2</c:v>
                </c:pt>
                <c:pt idx="397">
                  <c:v>-6.7839128747842481E-2</c:v>
                </c:pt>
                <c:pt idx="398">
                  <c:v>-6.7022998809252887E-2</c:v>
                </c:pt>
                <c:pt idx="399">
                  <c:v>-6.9551663700948452E-2</c:v>
                </c:pt>
                <c:pt idx="400">
                  <c:v>-7.0227312256666008E-2</c:v>
                </c:pt>
                <c:pt idx="401">
                  <c:v>-7.2327843410085135E-2</c:v>
                </c:pt>
                <c:pt idx="402">
                  <c:v>-7.1237440295412235E-2</c:v>
                </c:pt>
                <c:pt idx="403">
                  <c:v>-7.1237440295412235E-2</c:v>
                </c:pt>
                <c:pt idx="404">
                  <c:v>-7.9057570608618732E-2</c:v>
                </c:pt>
                <c:pt idx="405">
                  <c:v>-6.6206868870663294E-2</c:v>
                </c:pt>
                <c:pt idx="406">
                  <c:v>-6.8481329355257303E-2</c:v>
                </c:pt>
                <c:pt idx="407">
                  <c:v>-7.0213933077344914E-2</c:v>
                </c:pt>
                <c:pt idx="408">
                  <c:v>-7.2856320993270218E-2</c:v>
                </c:pt>
                <c:pt idx="409">
                  <c:v>-7.839530123222227E-2</c:v>
                </c:pt>
                <c:pt idx="410">
                  <c:v>-7.478961240517501E-2</c:v>
                </c:pt>
                <c:pt idx="411">
                  <c:v>-6.9170357090295953E-2</c:v>
                </c:pt>
                <c:pt idx="412">
                  <c:v>-6.4755227914319757E-2</c:v>
                </c:pt>
                <c:pt idx="413">
                  <c:v>-6.5979422822204037E-2</c:v>
                </c:pt>
                <c:pt idx="414">
                  <c:v>-5.5369733620539763E-2</c:v>
                </c:pt>
                <c:pt idx="415">
                  <c:v>-5.9376797827221273E-2</c:v>
                </c:pt>
                <c:pt idx="416">
                  <c:v>-6.1430501853016239E-2</c:v>
                </c:pt>
                <c:pt idx="417">
                  <c:v>-6.1430501853016239E-2</c:v>
                </c:pt>
                <c:pt idx="418">
                  <c:v>-5.8982112037247569E-2</c:v>
                </c:pt>
                <c:pt idx="419">
                  <c:v>-5.4413122299078132E-2</c:v>
                </c:pt>
                <c:pt idx="420">
                  <c:v>-4.6940850648221177E-2</c:v>
                </c:pt>
                <c:pt idx="421">
                  <c:v>-3.8846447158931263E-2</c:v>
                </c:pt>
                <c:pt idx="422">
                  <c:v>-3.0484460083218479E-2</c:v>
                </c:pt>
                <c:pt idx="423">
                  <c:v>-2.9159921330425553E-2</c:v>
                </c:pt>
                <c:pt idx="424">
                  <c:v>-2.9775363579198078E-2</c:v>
                </c:pt>
                <c:pt idx="425">
                  <c:v>-2.3701216167400174E-2</c:v>
                </c:pt>
                <c:pt idx="426">
                  <c:v>-2.9179990099407194E-2</c:v>
                </c:pt>
                <c:pt idx="427">
                  <c:v>-3.3648635992668208E-2</c:v>
                </c:pt>
                <c:pt idx="428">
                  <c:v>-3.5461514790682713E-2</c:v>
                </c:pt>
                <c:pt idx="429">
                  <c:v>-3.3213812664731002E-2</c:v>
                </c:pt>
                <c:pt idx="430">
                  <c:v>-3.2812437285096863E-2</c:v>
                </c:pt>
                <c:pt idx="431">
                  <c:v>-2.9340540251260872E-2</c:v>
                </c:pt>
                <c:pt idx="432">
                  <c:v>-2.1961922855652016E-2</c:v>
                </c:pt>
                <c:pt idx="433">
                  <c:v>-2.4035695650428734E-2</c:v>
                </c:pt>
                <c:pt idx="434">
                  <c:v>-2.5219753020349622E-2</c:v>
                </c:pt>
                <c:pt idx="435">
                  <c:v>-2.5326786454918815E-2</c:v>
                </c:pt>
                <c:pt idx="436">
                  <c:v>-2.3132601046251811E-2</c:v>
                </c:pt>
                <c:pt idx="437">
                  <c:v>-2.097186358588754E-2</c:v>
                </c:pt>
                <c:pt idx="438">
                  <c:v>-3.1360796328753104E-2</c:v>
                </c:pt>
                <c:pt idx="439">
                  <c:v>-3.2625128774600998E-2</c:v>
                </c:pt>
                <c:pt idx="440">
                  <c:v>-2.9628192606665493E-2</c:v>
                </c:pt>
                <c:pt idx="441">
                  <c:v>-2.8985991999250671E-2</c:v>
                </c:pt>
                <c:pt idx="442">
                  <c:v>-3.6625503391621961E-2</c:v>
                </c:pt>
                <c:pt idx="443">
                  <c:v>-3.357505050640186E-2</c:v>
                </c:pt>
                <c:pt idx="444">
                  <c:v>-3.3748979837576631E-2</c:v>
                </c:pt>
                <c:pt idx="445">
                  <c:v>-3.3983115475696657E-2</c:v>
                </c:pt>
                <c:pt idx="446">
                  <c:v>-2.7039321408024675E-2</c:v>
                </c:pt>
                <c:pt idx="447">
                  <c:v>-2.8711718823167254E-2</c:v>
                </c:pt>
                <c:pt idx="448">
                  <c:v>-2.8711718823167254E-2</c:v>
                </c:pt>
                <c:pt idx="449">
                  <c:v>-2.1025380303172136E-2</c:v>
                </c:pt>
                <c:pt idx="450">
                  <c:v>-2.1500341169072623E-2</c:v>
                </c:pt>
                <c:pt idx="451">
                  <c:v>-2.6778427411262573E-2</c:v>
                </c:pt>
                <c:pt idx="452">
                  <c:v>-2.2905154997792443E-2</c:v>
                </c:pt>
                <c:pt idx="453">
                  <c:v>-2.3273082429123737E-2</c:v>
                </c:pt>
                <c:pt idx="454">
                  <c:v>-2.6698152335335679E-2</c:v>
                </c:pt>
                <c:pt idx="455">
                  <c:v>-2.6637946028390536E-2</c:v>
                </c:pt>
                <c:pt idx="456">
                  <c:v>-2.7741728322384529E-2</c:v>
                </c:pt>
                <c:pt idx="457">
                  <c:v>-2.7641384477476105E-2</c:v>
                </c:pt>
                <c:pt idx="458">
                  <c:v>-3.0290461983061956E-2</c:v>
                </c:pt>
                <c:pt idx="459">
                  <c:v>-2.3968799753823045E-2</c:v>
                </c:pt>
                <c:pt idx="460">
                  <c:v>-2.4664517078522352E-2</c:v>
                </c:pt>
                <c:pt idx="461">
                  <c:v>-2.4885273537321062E-2</c:v>
                </c:pt>
                <c:pt idx="462">
                  <c:v>-2.8965923230269031E-2</c:v>
                </c:pt>
                <c:pt idx="463">
                  <c:v>-3.1206935766559973E-2</c:v>
                </c:pt>
                <c:pt idx="464">
                  <c:v>-2.9855638655124861E-2</c:v>
                </c:pt>
                <c:pt idx="465">
                  <c:v>-3.4391180444991454E-2</c:v>
                </c:pt>
                <c:pt idx="466">
                  <c:v>-3.2986366616271745E-2</c:v>
                </c:pt>
                <c:pt idx="467">
                  <c:v>-3.6625503391621961E-2</c:v>
                </c:pt>
                <c:pt idx="468">
                  <c:v>-3.6625503391621961E-2</c:v>
                </c:pt>
                <c:pt idx="469">
                  <c:v>-4.7288709310570831E-2</c:v>
                </c:pt>
                <c:pt idx="470">
                  <c:v>-5.0907777316939296E-2</c:v>
                </c:pt>
                <c:pt idx="471">
                  <c:v>-5.0071578609368061E-2</c:v>
                </c:pt>
                <c:pt idx="472">
                  <c:v>-5.2861137497825839E-2</c:v>
                </c:pt>
                <c:pt idx="473">
                  <c:v>-5.3021687649679516E-2</c:v>
                </c:pt>
                <c:pt idx="474">
                  <c:v>-5.216542017312642E-2</c:v>
                </c:pt>
                <c:pt idx="475">
                  <c:v>-5.1911215766024865E-2</c:v>
                </c:pt>
                <c:pt idx="476">
                  <c:v>-3.9930160683943505E-2</c:v>
                </c:pt>
                <c:pt idx="477">
                  <c:v>-3.9047134848748333E-2</c:v>
                </c:pt>
                <c:pt idx="478">
                  <c:v>-3.4143665627550335E-2</c:v>
                </c:pt>
                <c:pt idx="479">
                  <c:v>-3.3929598758412061E-2</c:v>
                </c:pt>
                <c:pt idx="480">
                  <c:v>-3.7394806202587394E-2</c:v>
                </c:pt>
                <c:pt idx="481">
                  <c:v>-3.3936288348072607E-2</c:v>
                </c:pt>
                <c:pt idx="482">
                  <c:v>-3.2324097239875282E-2</c:v>
                </c:pt>
                <c:pt idx="483">
                  <c:v>-3.4919658028176426E-2</c:v>
                </c:pt>
                <c:pt idx="484">
                  <c:v>-3.600337155318889E-2</c:v>
                </c:pt>
                <c:pt idx="485">
                  <c:v>-3.7956731734075433E-2</c:v>
                </c:pt>
                <c:pt idx="486">
                  <c:v>-3.960906038023615E-2</c:v>
                </c:pt>
                <c:pt idx="487">
                  <c:v>-3.5020001873085072E-2</c:v>
                </c:pt>
                <c:pt idx="488">
                  <c:v>-3.6297713498254058E-2</c:v>
                </c:pt>
                <c:pt idx="489">
                  <c:v>-3.5428066842379757E-2</c:v>
                </c:pt>
                <c:pt idx="490">
                  <c:v>-3.7234256050733716E-2</c:v>
                </c:pt>
                <c:pt idx="491">
                  <c:v>-3.526751669052608E-2</c:v>
                </c:pt>
                <c:pt idx="492">
                  <c:v>-3.9823127249374535E-2</c:v>
                </c:pt>
                <c:pt idx="493">
                  <c:v>-3.6852949440081328E-2</c:v>
                </c:pt>
                <c:pt idx="494">
                  <c:v>-3.005632634494193E-2</c:v>
                </c:pt>
                <c:pt idx="495">
                  <c:v>-2.0195871185261338E-2</c:v>
                </c:pt>
                <c:pt idx="496">
                  <c:v>-2.1065517841135639E-2</c:v>
                </c:pt>
                <c:pt idx="497">
                  <c:v>-2.4925411075284676E-2</c:v>
                </c:pt>
                <c:pt idx="498">
                  <c:v>-2.8490962364368544E-2</c:v>
                </c:pt>
                <c:pt idx="499">
                  <c:v>-3.3233881433712753E-2</c:v>
                </c:pt>
                <c:pt idx="500">
                  <c:v>-3.3233881433712753E-2</c:v>
                </c:pt>
                <c:pt idx="501">
                  <c:v>-2.8858889795699838E-2</c:v>
                </c:pt>
                <c:pt idx="502">
                  <c:v>-1.8744230228917802E-2</c:v>
                </c:pt>
                <c:pt idx="503">
                  <c:v>-2.0189181595600791E-2</c:v>
                </c:pt>
                <c:pt idx="504">
                  <c:v>-2.2871707049489487E-2</c:v>
                </c:pt>
                <c:pt idx="505">
                  <c:v>-2.53803031722033E-2</c:v>
                </c:pt>
                <c:pt idx="506">
                  <c:v>-2.1045449072153777E-2</c:v>
                </c:pt>
                <c:pt idx="507">
                  <c:v>-2.6069330907242061E-2</c:v>
                </c:pt>
                <c:pt idx="508">
                  <c:v>-2.780862421899033E-2</c:v>
                </c:pt>
                <c:pt idx="509">
                  <c:v>-2.7387180070374328E-2</c:v>
                </c:pt>
                <c:pt idx="510">
                  <c:v>-3.1247073304523365E-2</c:v>
                </c:pt>
                <c:pt idx="511">
                  <c:v>-3.1334037970110806E-2</c:v>
                </c:pt>
                <c:pt idx="512">
                  <c:v>-3.2638507953922091E-2</c:v>
                </c:pt>
                <c:pt idx="513">
                  <c:v>-2.8176551650321735E-2</c:v>
                </c:pt>
                <c:pt idx="514">
                  <c:v>-2.5741541013874047E-2</c:v>
                </c:pt>
                <c:pt idx="515">
                  <c:v>-2.9327161071939778E-2</c:v>
                </c:pt>
                <c:pt idx="516">
                  <c:v>-3.0370737058988739E-2</c:v>
                </c:pt>
                <c:pt idx="517">
                  <c:v>-3.2805747695436316E-2</c:v>
                </c:pt>
                <c:pt idx="518">
                  <c:v>-3.4792555824625704E-2</c:v>
                </c:pt>
                <c:pt idx="519">
                  <c:v>-3.5381239714755819E-2</c:v>
                </c:pt>
                <c:pt idx="520">
                  <c:v>-3.2424441084783706E-2</c:v>
                </c:pt>
                <c:pt idx="521">
                  <c:v>-3.1936101039562237E-2</c:v>
                </c:pt>
                <c:pt idx="522">
                  <c:v>-3.1320658790789713E-2</c:v>
                </c:pt>
                <c:pt idx="523">
                  <c:v>-2.5821816089800942E-2</c:v>
                </c:pt>
                <c:pt idx="524">
                  <c:v>-2.1680960089907941E-2</c:v>
                </c:pt>
                <c:pt idx="525">
                  <c:v>-1.9787806215966652E-2</c:v>
                </c:pt>
                <c:pt idx="526">
                  <c:v>-1.9526912219204329E-2</c:v>
                </c:pt>
                <c:pt idx="527">
                  <c:v>-2.0269456671527686E-2</c:v>
                </c:pt>
                <c:pt idx="528">
                  <c:v>-2.6276708186719788E-2</c:v>
                </c:pt>
                <c:pt idx="529">
                  <c:v>-2.7079458945988066E-2</c:v>
                </c:pt>
                <c:pt idx="530">
                  <c:v>-2.7079458945988066E-2</c:v>
                </c:pt>
                <c:pt idx="531">
                  <c:v>-2.9487711223793456E-2</c:v>
                </c:pt>
                <c:pt idx="532">
                  <c:v>-2.7186492380557259E-2</c:v>
                </c:pt>
                <c:pt idx="533">
                  <c:v>-2.5052513278835398E-2</c:v>
                </c:pt>
                <c:pt idx="534">
                  <c:v>-2.6892150435492201E-2</c:v>
                </c:pt>
                <c:pt idx="535">
                  <c:v>-2.6892150435492201E-2</c:v>
                </c:pt>
                <c:pt idx="536">
                  <c:v>-2.7935726422541274E-2</c:v>
                </c:pt>
                <c:pt idx="537">
                  <c:v>-2.1734476807192649E-2</c:v>
                </c:pt>
                <c:pt idx="538">
                  <c:v>-1.1773677802603522E-2</c:v>
                </c:pt>
                <c:pt idx="539">
                  <c:v>-4.8499525039134017E-3</c:v>
                </c:pt>
                <c:pt idx="540">
                  <c:v>5.619255314879279E-4</c:v>
                </c:pt>
                <c:pt idx="541">
                  <c:v>2.6557670952462864E-3</c:v>
                </c:pt>
                <c:pt idx="542">
                  <c:v>-5.3516717284561865E-3</c:v>
                </c:pt>
                <c:pt idx="543">
                  <c:v>-7.9338533374362363E-3</c:v>
                </c:pt>
                <c:pt idx="544">
                  <c:v>-5.0305714247488309E-3</c:v>
                </c:pt>
                <c:pt idx="545">
                  <c:v>4.1809935378562813E-3</c:v>
                </c:pt>
                <c:pt idx="546">
                  <c:v>-6.6226937639646266E-4</c:v>
                </c:pt>
                <c:pt idx="547">
                  <c:v>-2.4417002261080123E-3</c:v>
                </c:pt>
                <c:pt idx="548">
                  <c:v>-1.0489276587773988E-2</c:v>
                </c:pt>
                <c:pt idx="549">
                  <c:v>-5.679461621824089E-3</c:v>
                </c:pt>
                <c:pt idx="550">
                  <c:v>-2.4550794054292169E-3</c:v>
                </c:pt>
                <c:pt idx="551">
                  <c:v>8.3619870757134507E-4</c:v>
                </c:pt>
                <c:pt idx="552">
                  <c:v>6.1811808463669848E-3</c:v>
                </c:pt>
                <c:pt idx="553">
                  <c:v>6.1811808463669848E-3</c:v>
                </c:pt>
                <c:pt idx="554">
                  <c:v>7.6395113923712898E-3</c:v>
                </c:pt>
                <c:pt idx="555">
                  <c:v>1.3733727573150833E-2</c:v>
                </c:pt>
                <c:pt idx="556">
                  <c:v>1.1967675902760266E-2</c:v>
                </c:pt>
                <c:pt idx="557">
                  <c:v>1.2121536464953397E-2</c:v>
                </c:pt>
                <c:pt idx="558">
                  <c:v>1.2121536464953397E-2</c:v>
                </c:pt>
                <c:pt idx="559">
                  <c:v>1.4529788742758454E-2</c:v>
                </c:pt>
                <c:pt idx="560">
                  <c:v>1.1024443760619729E-2</c:v>
                </c:pt>
                <c:pt idx="561">
                  <c:v>1.2121536464953397E-2</c:v>
                </c:pt>
                <c:pt idx="562">
                  <c:v>1.2208501130540617E-2</c:v>
                </c:pt>
                <c:pt idx="563">
                  <c:v>1.1706781905997943E-2</c:v>
                </c:pt>
                <c:pt idx="564">
                  <c:v>1.1653265188713346E-2</c:v>
                </c:pt>
                <c:pt idx="565">
                  <c:v>1.1653265188713346E-2</c:v>
                </c:pt>
                <c:pt idx="566">
                  <c:v>2.4423691850741891E-2</c:v>
                </c:pt>
                <c:pt idx="567">
                  <c:v>2.3059015559985463E-2</c:v>
                </c:pt>
                <c:pt idx="568">
                  <c:v>2.2423504542231631E-2</c:v>
                </c:pt>
                <c:pt idx="569">
                  <c:v>2.5882022396746196E-2</c:v>
                </c:pt>
                <c:pt idx="570">
                  <c:v>2.9266954764994635E-2</c:v>
                </c:pt>
                <c:pt idx="571">
                  <c:v>4.0625878008643035E-2</c:v>
                </c:pt>
                <c:pt idx="572">
                  <c:v>3.8491898906921174E-2</c:v>
                </c:pt>
                <c:pt idx="573">
                  <c:v>3.3869392451467029E-2</c:v>
                </c:pt>
                <c:pt idx="574">
                  <c:v>3.6291023908593401E-2</c:v>
                </c:pt>
                <c:pt idx="575">
                  <c:v>3.5280895869847395E-2</c:v>
                </c:pt>
                <c:pt idx="576">
                  <c:v>4.277323628968599E-2</c:v>
                </c:pt>
                <c:pt idx="577">
                  <c:v>3.3936288348072718E-2</c:v>
                </c:pt>
                <c:pt idx="578">
                  <c:v>3.7849698299506462E-2</c:v>
                </c:pt>
                <c:pt idx="579">
                  <c:v>2.8872268975021154E-2</c:v>
                </c:pt>
                <c:pt idx="580">
                  <c:v>2.9708467682592499E-2</c:v>
                </c:pt>
                <c:pt idx="581">
                  <c:v>2.8176551650321846E-2</c:v>
                </c:pt>
                <c:pt idx="582">
                  <c:v>2.451734610598999E-2</c:v>
                </c:pt>
                <c:pt idx="583">
                  <c:v>2.7407248839356191E-2</c:v>
                </c:pt>
                <c:pt idx="584">
                  <c:v>3.010315347256598E-2</c:v>
                </c:pt>
                <c:pt idx="585">
                  <c:v>3.3347604457942603E-2</c:v>
                </c:pt>
                <c:pt idx="586">
                  <c:v>3.9936850273604163E-2</c:v>
                </c:pt>
                <c:pt idx="587">
                  <c:v>2.8945854461287501E-2</c:v>
                </c:pt>
                <c:pt idx="588">
                  <c:v>3.2705403850527892E-2</c:v>
                </c:pt>
                <c:pt idx="589">
                  <c:v>3.8779551262325684E-2</c:v>
                </c:pt>
                <c:pt idx="590">
                  <c:v>3.9321408024831861E-2</c:v>
                </c:pt>
                <c:pt idx="591">
                  <c:v>3.3514844199456828E-2</c:v>
                </c:pt>
                <c:pt idx="592">
                  <c:v>2.7380490480714004E-2</c:v>
                </c:pt>
                <c:pt idx="593">
                  <c:v>3.1140039869954395E-2</c:v>
                </c:pt>
                <c:pt idx="594">
                  <c:v>3.1795619656690421E-2</c:v>
                </c:pt>
                <c:pt idx="595">
                  <c:v>2.8551168671313798E-2</c:v>
                </c:pt>
                <c:pt idx="596">
                  <c:v>2.9139852561443913E-2</c:v>
                </c:pt>
                <c:pt idx="597">
                  <c:v>2.3908593446877902E-2</c:v>
                </c:pt>
                <c:pt idx="598">
                  <c:v>2.3908593446877902E-2</c:v>
                </c:pt>
                <c:pt idx="599">
                  <c:v>2.756779899120998E-2</c:v>
                </c:pt>
                <c:pt idx="600">
                  <c:v>3.288602277136321E-2</c:v>
                </c:pt>
                <c:pt idx="601">
                  <c:v>3.5541789866609719E-2</c:v>
                </c:pt>
                <c:pt idx="602">
                  <c:v>2.8196620419303597E-2</c:v>
                </c:pt>
                <c:pt idx="603">
                  <c:v>3.9053824438409102E-2</c:v>
                </c:pt>
                <c:pt idx="604">
                  <c:v>4.0398431960183556E-2</c:v>
                </c:pt>
                <c:pt idx="605">
                  <c:v>4.3562607869633396E-2</c:v>
                </c:pt>
                <c:pt idx="606">
                  <c:v>3.923444335924442E-2</c:v>
                </c:pt>
                <c:pt idx="607">
                  <c:v>3.923444335924442E-2</c:v>
                </c:pt>
                <c:pt idx="608">
                  <c:v>3.923444335924442E-2</c:v>
                </c:pt>
                <c:pt idx="609">
                  <c:v>3.7582114713083481E-2</c:v>
                </c:pt>
                <c:pt idx="610">
                  <c:v>3.1889273911938298E-2</c:v>
                </c:pt>
                <c:pt idx="611">
                  <c:v>2.6852012897528921E-2</c:v>
                </c:pt>
                <c:pt idx="612">
                  <c:v>3.0477770493557932E-2</c:v>
                </c:pt>
                <c:pt idx="613">
                  <c:v>3.3381052406245448E-2</c:v>
                </c:pt>
                <c:pt idx="614">
                  <c:v>3.5260827100865644E-2</c:v>
                </c:pt>
                <c:pt idx="615">
                  <c:v>4.3301713872871073E-2</c:v>
                </c:pt>
                <c:pt idx="616">
                  <c:v>4.4673079753288158E-2</c:v>
                </c:pt>
                <c:pt idx="617">
                  <c:v>5.125563597928906E-2</c:v>
                </c:pt>
                <c:pt idx="618">
                  <c:v>4.976385748498191E-2</c:v>
                </c:pt>
                <c:pt idx="619">
                  <c:v>5.3717404974378935E-2</c:v>
                </c:pt>
                <c:pt idx="620">
                  <c:v>5.8734597219806561E-2</c:v>
                </c:pt>
                <c:pt idx="621">
                  <c:v>5.4259261736885112E-2</c:v>
                </c:pt>
                <c:pt idx="622">
                  <c:v>5.4259261736885112E-2</c:v>
                </c:pt>
                <c:pt idx="623">
                  <c:v>5.715585405991197E-2</c:v>
                </c:pt>
                <c:pt idx="624">
                  <c:v>6.33704828545818E-2</c:v>
                </c:pt>
                <c:pt idx="625">
                  <c:v>6.8588362789826718E-2</c:v>
                </c:pt>
                <c:pt idx="626">
                  <c:v>7.4134032618439205E-2</c:v>
                </c:pt>
                <c:pt idx="627">
                  <c:v>7.3511900780006245E-2</c:v>
                </c:pt>
                <c:pt idx="628">
                  <c:v>7.1150475629824905E-2</c:v>
                </c:pt>
                <c:pt idx="629">
                  <c:v>7.0782548198493611E-2</c:v>
                </c:pt>
                <c:pt idx="630">
                  <c:v>7.2281016282461419E-2</c:v>
                </c:pt>
                <c:pt idx="631">
                  <c:v>7.4267824411650807E-2</c:v>
                </c:pt>
                <c:pt idx="632">
                  <c:v>7.2495083151599582E-2</c:v>
                </c:pt>
                <c:pt idx="633">
                  <c:v>7.7766479804128874E-2</c:v>
                </c:pt>
                <c:pt idx="634">
                  <c:v>8.1452443707102917E-2</c:v>
                </c:pt>
                <c:pt idx="635">
                  <c:v>8.8730717257803571E-2</c:v>
                </c:pt>
                <c:pt idx="636">
                  <c:v>8.5111649251434995E-2</c:v>
                </c:pt>
                <c:pt idx="637">
                  <c:v>8.5111649251434995E-2</c:v>
                </c:pt>
                <c:pt idx="638">
                  <c:v>8.9854568320779427E-2</c:v>
                </c:pt>
                <c:pt idx="639">
                  <c:v>8.3312149632741583E-2</c:v>
                </c:pt>
                <c:pt idx="640">
                  <c:v>8.2556226001097244E-2</c:v>
                </c:pt>
                <c:pt idx="641">
                  <c:v>8.0917276534257399E-2</c:v>
                </c:pt>
                <c:pt idx="642">
                  <c:v>7.3913276159640384E-2</c:v>
                </c:pt>
                <c:pt idx="643">
                  <c:v>7.3184110886638232E-2</c:v>
                </c:pt>
                <c:pt idx="644">
                  <c:v>6.8113401923926009E-2</c:v>
                </c:pt>
                <c:pt idx="645">
                  <c:v>6.8113401923926009E-2</c:v>
                </c:pt>
                <c:pt idx="646">
                  <c:v>8.0636313768513546E-2</c:v>
                </c:pt>
                <c:pt idx="647">
                  <c:v>7.604056567170181E-2</c:v>
                </c:pt>
                <c:pt idx="648">
                  <c:v>8.0188111261255246E-2</c:v>
                </c:pt>
                <c:pt idx="649">
                  <c:v>8.2281952825013827E-2</c:v>
                </c:pt>
                <c:pt idx="650">
                  <c:v>7.9947286033474674E-2</c:v>
                </c:pt>
                <c:pt idx="651">
                  <c:v>7.802068421123054E-2</c:v>
                </c:pt>
                <c:pt idx="652">
                  <c:v>7.6321528437445663E-2</c:v>
                </c:pt>
                <c:pt idx="653">
                  <c:v>7.7137658376035256E-2</c:v>
                </c:pt>
                <c:pt idx="654">
                  <c:v>7.5231125322772652E-2</c:v>
                </c:pt>
                <c:pt idx="655">
                  <c:v>7.5231125322772652E-2</c:v>
                </c:pt>
                <c:pt idx="656">
                  <c:v>7.4435064153165031E-2</c:v>
                </c:pt>
                <c:pt idx="657">
                  <c:v>7.0193864308363274E-2</c:v>
                </c:pt>
                <c:pt idx="658">
                  <c:v>6.5444255649358629E-2</c:v>
                </c:pt>
                <c:pt idx="659">
                  <c:v>6.3892270848106225E-2</c:v>
                </c:pt>
                <c:pt idx="660">
                  <c:v>6.3417309982205738E-2</c:v>
                </c:pt>
                <c:pt idx="661">
                  <c:v>6.0554165607481725E-2</c:v>
                </c:pt>
                <c:pt idx="662">
                  <c:v>6.4280267048419271E-2</c:v>
                </c:pt>
                <c:pt idx="663">
                  <c:v>6.0259823662416556E-2</c:v>
                </c:pt>
                <c:pt idx="664">
                  <c:v>6.3704962337610249E-2</c:v>
                </c:pt>
                <c:pt idx="665">
                  <c:v>6.9130219552332672E-2</c:v>
                </c:pt>
                <c:pt idx="666">
                  <c:v>6.8969669400479106E-2</c:v>
                </c:pt>
                <c:pt idx="667">
                  <c:v>8.0582797051228949E-2</c:v>
                </c:pt>
                <c:pt idx="668">
                  <c:v>8.1539408372690581E-2</c:v>
                </c:pt>
                <c:pt idx="669">
                  <c:v>7.7706273497183842E-2</c:v>
                </c:pt>
                <c:pt idx="670">
                  <c:v>7.7706273497183842E-2</c:v>
                </c:pt>
                <c:pt idx="671">
                  <c:v>7.9980733981777741E-2</c:v>
                </c:pt>
                <c:pt idx="672">
                  <c:v>8.2629811487363591E-2</c:v>
                </c:pt>
                <c:pt idx="673">
                  <c:v>8.5800676986473645E-2</c:v>
                </c:pt>
                <c:pt idx="674">
                  <c:v>8.3084703584282105E-2</c:v>
                </c:pt>
                <c:pt idx="675">
                  <c:v>9.0282702059055753E-2</c:v>
                </c:pt>
                <c:pt idx="676">
                  <c:v>8.7700520450075592E-2</c:v>
                </c:pt>
                <c:pt idx="677">
                  <c:v>9.2771229412787815E-2</c:v>
                </c:pt>
                <c:pt idx="678">
                  <c:v>9.2951848333623355E-2</c:v>
                </c:pt>
                <c:pt idx="679">
                  <c:v>9.478479590061939E-2</c:v>
                </c:pt>
                <c:pt idx="680">
                  <c:v>8.5098270072113902E-2</c:v>
                </c:pt>
                <c:pt idx="681">
                  <c:v>9.0189047803807876E-2</c:v>
                </c:pt>
                <c:pt idx="682">
                  <c:v>8.4476138233680942E-2</c:v>
                </c:pt>
                <c:pt idx="683">
                  <c:v>8.0489142795981072E-2</c:v>
                </c:pt>
                <c:pt idx="684">
                  <c:v>7.8950537174049984E-2</c:v>
                </c:pt>
                <c:pt idx="685">
                  <c:v>8.6763977897595712E-2</c:v>
                </c:pt>
                <c:pt idx="686">
                  <c:v>7.8321715745956144E-2</c:v>
                </c:pt>
                <c:pt idx="687">
                  <c:v>8.743962645331349E-2</c:v>
                </c:pt>
                <c:pt idx="688">
                  <c:v>8.6556600618118207E-2</c:v>
                </c:pt>
                <c:pt idx="689">
                  <c:v>7.7726342266165371E-2</c:v>
                </c:pt>
                <c:pt idx="690">
                  <c:v>2.7842072167293397E-2</c:v>
                </c:pt>
                <c:pt idx="691">
                  <c:v>5.3202306570515168E-2</c:v>
                </c:pt>
                <c:pt idx="692">
                  <c:v>6.4895709297191795E-2</c:v>
                </c:pt>
                <c:pt idx="693">
                  <c:v>6.3898960437766883E-2</c:v>
                </c:pt>
                <c:pt idx="694">
                  <c:v>6.7691957775310119E-2</c:v>
                </c:pt>
                <c:pt idx="695">
                  <c:v>7.4789612405175232E-2</c:v>
                </c:pt>
                <c:pt idx="696">
                  <c:v>7.6702835048098272E-2</c:v>
                </c:pt>
                <c:pt idx="697">
                  <c:v>7.8595988922039561E-2</c:v>
                </c:pt>
                <c:pt idx="698">
                  <c:v>7.8990674712013265E-2</c:v>
                </c:pt>
                <c:pt idx="699">
                  <c:v>8.6322464979998292E-2</c:v>
                </c:pt>
                <c:pt idx="700">
                  <c:v>0.10291264733821248</c:v>
                </c:pt>
                <c:pt idx="701">
                  <c:v>9.8945720669494142E-2</c:v>
                </c:pt>
                <c:pt idx="702">
                  <c:v>9.396197637236936E-2</c:v>
                </c:pt>
                <c:pt idx="703">
                  <c:v>9.8203176217170896E-2</c:v>
                </c:pt>
                <c:pt idx="704">
                  <c:v>9.4242939138113435E-2</c:v>
                </c:pt>
                <c:pt idx="705">
                  <c:v>9.6396987008817048E-2</c:v>
                </c:pt>
                <c:pt idx="706">
                  <c:v>0.1053142100263571</c:v>
                </c:pt>
                <c:pt idx="707">
                  <c:v>0.12066681829736581</c:v>
                </c:pt>
                <c:pt idx="708">
                  <c:v>0.10615709832358888</c:v>
                </c:pt>
                <c:pt idx="709">
                  <c:v>0.12304831221652868</c:v>
                </c:pt>
                <c:pt idx="710">
                  <c:v>0.12264024724723388</c:v>
                </c:pt>
                <c:pt idx="711">
                  <c:v>0.12161005043950612</c:v>
                </c:pt>
                <c:pt idx="712">
                  <c:v>0.11732202346708065</c:v>
                </c:pt>
                <c:pt idx="713">
                  <c:v>0.11369626587105142</c:v>
                </c:pt>
                <c:pt idx="714">
                  <c:v>0.10586944596818437</c:v>
                </c:pt>
                <c:pt idx="715">
                  <c:v>0.10477904285351136</c:v>
                </c:pt>
                <c:pt idx="716">
                  <c:v>0.11070601929277668</c:v>
                </c:pt>
                <c:pt idx="717">
                  <c:v>9.6958912540304754E-2</c:v>
                </c:pt>
                <c:pt idx="718">
                  <c:v>9.5962163680879842E-2</c:v>
                </c:pt>
                <c:pt idx="719">
                  <c:v>0.10522055577110923</c:v>
                </c:pt>
                <c:pt idx="720">
                  <c:v>0.10522055577110923</c:v>
                </c:pt>
                <c:pt idx="721">
                  <c:v>0.11333502802938078</c:v>
                </c:pt>
                <c:pt idx="722">
                  <c:v>0.11086656944463025</c:v>
                </c:pt>
                <c:pt idx="723">
                  <c:v>0.11425150181287891</c:v>
                </c:pt>
                <c:pt idx="724">
                  <c:v>0.11637210173527968</c:v>
                </c:pt>
                <c:pt idx="725">
                  <c:v>0.11401736617475899</c:v>
                </c:pt>
                <c:pt idx="726">
                  <c:v>0.11740898813266787</c:v>
                </c:pt>
                <c:pt idx="727">
                  <c:v>0.11942255462049967</c:v>
                </c:pt>
                <c:pt idx="728">
                  <c:v>0.11804449915042214</c:v>
                </c:pt>
                <c:pt idx="729">
                  <c:v>0.1105320899616018</c:v>
                </c:pt>
                <c:pt idx="730">
                  <c:v>0.1030531287210843</c:v>
                </c:pt>
                <c:pt idx="731">
                  <c:v>0.10805694178719083</c:v>
                </c:pt>
                <c:pt idx="732">
                  <c:v>9.6631122646936962E-2</c:v>
                </c:pt>
                <c:pt idx="733">
                  <c:v>9.8129590730904548E-2</c:v>
                </c:pt>
                <c:pt idx="734">
                  <c:v>9.0383045903964288E-2</c:v>
                </c:pt>
                <c:pt idx="735">
                  <c:v>9.3941907603387609E-2</c:v>
                </c:pt>
                <c:pt idx="736">
                  <c:v>9.416266406218643E-2</c:v>
                </c:pt>
                <c:pt idx="737">
                  <c:v>9.3687703196286165E-2</c:v>
                </c:pt>
                <c:pt idx="738">
                  <c:v>9.7721525761609973E-2</c:v>
                </c:pt>
                <c:pt idx="739">
                  <c:v>9.2777919002448472E-2</c:v>
                </c:pt>
                <c:pt idx="740">
                  <c:v>9.4778106310958954E-2</c:v>
                </c:pt>
                <c:pt idx="741">
                  <c:v>9.8410553496648623E-2</c:v>
                </c:pt>
                <c:pt idx="742">
                  <c:v>9.216247675367617E-2</c:v>
                </c:pt>
                <c:pt idx="743">
                  <c:v>9.8056005244638422E-2</c:v>
                </c:pt>
                <c:pt idx="744">
                  <c:v>0.10109976854019775</c:v>
                </c:pt>
                <c:pt idx="745">
                  <c:v>0.10089239126072025</c:v>
                </c:pt>
                <c:pt idx="746">
                  <c:v>9.8791860107301011E-2</c:v>
                </c:pt>
                <c:pt idx="747">
                  <c:v>9.8116211551583454E-2</c:v>
                </c:pt>
                <c:pt idx="748">
                  <c:v>9.1894893167253189E-2</c:v>
                </c:pt>
                <c:pt idx="749">
                  <c:v>8.2576294770078773E-2</c:v>
                </c:pt>
                <c:pt idx="750">
                  <c:v>7.7338346065852326E-2</c:v>
                </c:pt>
                <c:pt idx="751">
                  <c:v>8.042224689937516E-2</c:v>
                </c:pt>
                <c:pt idx="752">
                  <c:v>7.1591988547422547E-2</c:v>
                </c:pt>
                <c:pt idx="753">
                  <c:v>7.1591988547422547E-2</c:v>
                </c:pt>
                <c:pt idx="754">
                  <c:v>7.2996802376142256E-2</c:v>
                </c:pt>
                <c:pt idx="755">
                  <c:v>8.1325341503552195E-2</c:v>
                </c:pt>
                <c:pt idx="756">
                  <c:v>8.4181796288615773E-2</c:v>
                </c:pt>
                <c:pt idx="757">
                  <c:v>9.3192673561403927E-2</c:v>
                </c:pt>
                <c:pt idx="758">
                  <c:v>8.5907710421042838E-2</c:v>
                </c:pt>
                <c:pt idx="759">
                  <c:v>8.4543034130286632E-2</c:v>
                </c:pt>
                <c:pt idx="760">
                  <c:v>7.652890571692339E-2</c:v>
                </c:pt>
                <c:pt idx="761">
                  <c:v>7.597366977509612E-2</c:v>
                </c:pt>
                <c:pt idx="762">
                  <c:v>7.8027373800891198E-2</c:v>
                </c:pt>
                <c:pt idx="763">
                  <c:v>7.0789237788154269E-2</c:v>
                </c:pt>
                <c:pt idx="764">
                  <c:v>6.5277015907844405E-2</c:v>
                </c:pt>
                <c:pt idx="765">
                  <c:v>7.3036939914105758E-2</c:v>
                </c:pt>
                <c:pt idx="766">
                  <c:v>7.1899709671808809E-2</c:v>
                </c:pt>
                <c:pt idx="767">
                  <c:v>6.9116840373011579E-2</c:v>
                </c:pt>
                <c:pt idx="768">
                  <c:v>6.2761730195469934E-2</c:v>
                </c:pt>
                <c:pt idx="769">
                  <c:v>6.3497585058132522E-2</c:v>
                </c:pt>
                <c:pt idx="770">
                  <c:v>6.8628500327789999E-2</c:v>
                </c:pt>
                <c:pt idx="771">
                  <c:v>7.2441566434314986E-2</c:v>
                </c:pt>
                <c:pt idx="772">
                  <c:v>7.3177421296977796E-2</c:v>
                </c:pt>
                <c:pt idx="773">
                  <c:v>6.8655258686432186E-2</c:v>
                </c:pt>
                <c:pt idx="774">
                  <c:v>6.6514589995049667E-2</c:v>
                </c:pt>
                <c:pt idx="775">
                  <c:v>6.7310651164657731E-2</c:v>
                </c:pt>
                <c:pt idx="776">
                  <c:v>7.4990300094992302E-2</c:v>
                </c:pt>
                <c:pt idx="777">
                  <c:v>7.9759977522978698E-2</c:v>
                </c:pt>
                <c:pt idx="778">
                  <c:v>8.0796863920367334E-2</c:v>
                </c:pt>
                <c:pt idx="779">
                  <c:v>7.9198051991490992E-2</c:v>
                </c:pt>
                <c:pt idx="780">
                  <c:v>7.7980546673267259E-2</c:v>
                </c:pt>
                <c:pt idx="781">
                  <c:v>7.6334907616766978E-2</c:v>
                </c:pt>
                <c:pt idx="782">
                  <c:v>7.2475014382617831E-2</c:v>
                </c:pt>
                <c:pt idx="783">
                  <c:v>7.1725780340633927E-2</c:v>
                </c:pt>
                <c:pt idx="784">
                  <c:v>7.6187736644234283E-2</c:v>
                </c:pt>
                <c:pt idx="785">
                  <c:v>7.4916714608725954E-2</c:v>
                </c:pt>
                <c:pt idx="786">
                  <c:v>6.8548225251862993E-2</c:v>
                </c:pt>
                <c:pt idx="787">
                  <c:v>7.0053382925491459E-2</c:v>
                </c:pt>
                <c:pt idx="788">
                  <c:v>7.0394551998180344E-2</c:v>
                </c:pt>
                <c:pt idx="789">
                  <c:v>6.4587988172805533E-2</c:v>
                </c:pt>
                <c:pt idx="790">
                  <c:v>6.7792301620218653E-2</c:v>
                </c:pt>
                <c:pt idx="791">
                  <c:v>7.2334532999745793E-2</c:v>
                </c:pt>
                <c:pt idx="792">
                  <c:v>7.2334532999745793E-2</c:v>
                </c:pt>
                <c:pt idx="793">
                  <c:v>7.9499083526216596E-2</c:v>
                </c:pt>
                <c:pt idx="794">
                  <c:v>8.9158850996080119E-2</c:v>
                </c:pt>
                <c:pt idx="795">
                  <c:v>9.5540719532263951E-2</c:v>
                </c:pt>
                <c:pt idx="796">
                  <c:v>9.8651378724428973E-2</c:v>
                </c:pt>
                <c:pt idx="797">
                  <c:v>9.8651378724428973E-2</c:v>
                </c:pt>
                <c:pt idx="798">
                  <c:v>9.2323026905529515E-2</c:v>
                </c:pt>
                <c:pt idx="799">
                  <c:v>9.004187683127518E-2</c:v>
                </c:pt>
                <c:pt idx="800">
                  <c:v>8.7372730556707801E-2</c:v>
                </c:pt>
                <c:pt idx="801">
                  <c:v>9.0262633290074001E-2</c:v>
                </c:pt>
                <c:pt idx="802">
                  <c:v>8.0255007157860936E-2</c:v>
                </c:pt>
                <c:pt idx="803">
                  <c:v>7.0876202453741488E-2</c:v>
                </c:pt>
                <c:pt idx="804">
                  <c:v>7.1946536799432748E-2</c:v>
                </c:pt>
                <c:pt idx="805">
                  <c:v>6.069464699035354E-2</c:v>
                </c:pt>
                <c:pt idx="806">
                  <c:v>5.4587051630253125E-2</c:v>
                </c:pt>
                <c:pt idx="807">
                  <c:v>4.4994180056995292E-2</c:v>
                </c:pt>
                <c:pt idx="808">
                  <c:v>4.059243006034019E-2</c:v>
                </c:pt>
                <c:pt idx="809">
                  <c:v>4.8071391300857691E-2</c:v>
                </c:pt>
                <c:pt idx="810">
                  <c:v>5.1830940690098082E-2</c:v>
                </c:pt>
                <c:pt idx="811">
                  <c:v>5.7262887494481163E-2</c:v>
                </c:pt>
                <c:pt idx="812">
                  <c:v>6.2173046305339597E-2</c:v>
                </c:pt>
                <c:pt idx="813">
                  <c:v>5.5082081265135363E-2</c:v>
                </c:pt>
                <c:pt idx="814">
                  <c:v>5.2760793652917304E-2</c:v>
                </c:pt>
                <c:pt idx="815">
                  <c:v>4.288695931391584E-2</c:v>
                </c:pt>
                <c:pt idx="816">
                  <c:v>3.8685897007077585E-2</c:v>
                </c:pt>
                <c:pt idx="817">
                  <c:v>3.8685897007077585E-2</c:v>
                </c:pt>
                <c:pt idx="818">
                  <c:v>3.8685897007077585E-2</c:v>
                </c:pt>
                <c:pt idx="819">
                  <c:v>4.1515593433498976E-2</c:v>
                </c:pt>
                <c:pt idx="820">
                  <c:v>3.9314718435171425E-2</c:v>
                </c:pt>
                <c:pt idx="821">
                  <c:v>4.662643993417448E-2</c:v>
                </c:pt>
                <c:pt idx="822">
                  <c:v>5.3282581646441951E-2</c:v>
                </c:pt>
                <c:pt idx="823">
                  <c:v>6.0413684224609687E-2</c:v>
                </c:pt>
                <c:pt idx="824">
                  <c:v>6.4253508689777084E-2</c:v>
                </c:pt>
                <c:pt idx="825">
                  <c:v>6.4253508689777084E-2</c:v>
                </c:pt>
                <c:pt idx="826">
                  <c:v>6.4253508689777084E-2</c:v>
                </c:pt>
                <c:pt idx="827">
                  <c:v>7.2374670537709296E-2</c:v>
                </c:pt>
                <c:pt idx="828">
                  <c:v>6.5169982473275212E-2</c:v>
                </c:pt>
                <c:pt idx="829">
                  <c:v>6.4715090376356255E-2</c:v>
                </c:pt>
                <c:pt idx="830">
                  <c:v>5.8801493116412251E-2</c:v>
                </c:pt>
                <c:pt idx="831">
                  <c:v>6.0192927765810866E-2</c:v>
                </c:pt>
                <c:pt idx="832">
                  <c:v>5.7543850260225238E-2</c:v>
                </c:pt>
                <c:pt idx="833">
                  <c:v>5.5396491979182061E-2</c:v>
                </c:pt>
                <c:pt idx="834">
                  <c:v>6.4333783765703867E-2</c:v>
                </c:pt>
                <c:pt idx="835">
                  <c:v>5.9798241975837163E-2</c:v>
                </c:pt>
                <c:pt idx="836">
                  <c:v>4.8947727546392317E-2</c:v>
                </c:pt>
                <c:pt idx="837">
                  <c:v>6.2781798964451685E-2</c:v>
                </c:pt>
                <c:pt idx="838">
                  <c:v>6.1370295546071318E-2</c:v>
                </c:pt>
                <c:pt idx="839">
                  <c:v>5.3409683849992673E-2</c:v>
                </c:pt>
                <c:pt idx="840">
                  <c:v>5.1195429672344028E-2</c:v>
                </c:pt>
                <c:pt idx="841">
                  <c:v>4.0672705136266973E-2</c:v>
                </c:pt>
                <c:pt idx="842">
                  <c:v>4.6532785678926603E-2</c:v>
                </c:pt>
                <c:pt idx="843">
                  <c:v>4.2846821775952337E-2</c:v>
                </c:pt>
                <c:pt idx="844">
                  <c:v>3.5060139411048574E-2</c:v>
                </c:pt>
                <c:pt idx="845">
                  <c:v>2.7828692987972303E-2</c:v>
                </c:pt>
                <c:pt idx="846">
                  <c:v>1.6917972251582203E-2</c:v>
                </c:pt>
                <c:pt idx="847">
                  <c:v>-6.7096584295519568E-3</c:v>
                </c:pt>
                <c:pt idx="848">
                  <c:v>1.0148107515085103E-2</c:v>
                </c:pt>
                <c:pt idx="849">
                  <c:v>1.1566300523126127E-2</c:v>
                </c:pt>
                <c:pt idx="850">
                  <c:v>2.20421979315788E-2</c:v>
                </c:pt>
                <c:pt idx="851">
                  <c:v>2.20421979315788E-2</c:v>
                </c:pt>
                <c:pt idx="852">
                  <c:v>1.5252264426100171E-2</c:v>
                </c:pt>
                <c:pt idx="853">
                  <c:v>6.2213183843304876E-3</c:v>
                </c:pt>
                <c:pt idx="854">
                  <c:v>7.0842754505440197E-3</c:v>
                </c:pt>
                <c:pt idx="855">
                  <c:v>5.9938723358710089E-3</c:v>
                </c:pt>
                <c:pt idx="856">
                  <c:v>1.253629102390863E-2</c:v>
                </c:pt>
                <c:pt idx="857">
                  <c:v>1.5513158422862272E-2</c:v>
                </c:pt>
                <c:pt idx="858">
                  <c:v>2.7340352942750501E-2</c:v>
                </c:pt>
                <c:pt idx="859">
                  <c:v>1.2569738972211475E-2</c:v>
                </c:pt>
                <c:pt idx="860">
                  <c:v>1.2569738972211475E-2</c:v>
                </c:pt>
                <c:pt idx="861">
                  <c:v>1.2569738972211475E-2</c:v>
                </c:pt>
                <c:pt idx="862">
                  <c:v>2.1179240865365268E-2</c:v>
                </c:pt>
                <c:pt idx="863">
                  <c:v>1.6088463133671516E-2</c:v>
                </c:pt>
                <c:pt idx="864">
                  <c:v>6.207939205009394E-3</c:v>
                </c:pt>
                <c:pt idx="865">
                  <c:v>-3.4157044806871539E-2</c:v>
                </c:pt>
                <c:pt idx="866">
                  <c:v>-3.4317594958725217E-2</c:v>
                </c:pt>
                <c:pt idx="867">
                  <c:v>-6.3062761730195427E-2</c:v>
                </c:pt>
                <c:pt idx="868">
                  <c:v>-2.1226067992989206E-2</c:v>
                </c:pt>
                <c:pt idx="869">
                  <c:v>-2.6825254538886512E-2</c:v>
                </c:pt>
                <c:pt idx="870">
                  <c:v>-9.3654255247983542E-3</c:v>
                </c:pt>
                <c:pt idx="871">
                  <c:v>-5.6393240838605863E-3</c:v>
                </c:pt>
                <c:pt idx="872">
                  <c:v>-1.2001123851062889E-2</c:v>
                </c:pt>
                <c:pt idx="873">
                  <c:v>-7.7532344166008071E-3</c:v>
                </c:pt>
                <c:pt idx="874">
                  <c:v>3.0370737058991182E-3</c:v>
                </c:pt>
                <c:pt idx="875">
                  <c:v>3.0839008335230567E-3</c:v>
                </c:pt>
                <c:pt idx="876">
                  <c:v>-5.7597366977508724E-3</c:v>
                </c:pt>
                <c:pt idx="877">
                  <c:v>4.2345102551410996E-3</c:v>
                </c:pt>
                <c:pt idx="878">
                  <c:v>7.8000615442248566E-3</c:v>
                </c:pt>
                <c:pt idx="879">
                  <c:v>9.5928715732578329E-3</c:v>
                </c:pt>
                <c:pt idx="880">
                  <c:v>1.788127316270427E-2</c:v>
                </c:pt>
                <c:pt idx="881">
                  <c:v>1.3847450597380462E-2</c:v>
                </c:pt>
                <c:pt idx="882">
                  <c:v>3.0343978700346552E-2</c:v>
                </c:pt>
                <c:pt idx="883">
                  <c:v>3.0343978700346552E-2</c:v>
                </c:pt>
                <c:pt idx="884">
                  <c:v>3.1862515553296111E-2</c:v>
                </c:pt>
                <c:pt idx="885">
                  <c:v>2.9889086603427817E-2</c:v>
                </c:pt>
                <c:pt idx="886">
                  <c:v>2.805613903643156E-2</c:v>
                </c:pt>
                <c:pt idx="887">
                  <c:v>3.6819501491778706E-2</c:v>
                </c:pt>
                <c:pt idx="888">
                  <c:v>3.2029755294810336E-2</c:v>
                </c:pt>
                <c:pt idx="889">
                  <c:v>3.4545041007184585E-2</c:v>
                </c:pt>
                <c:pt idx="890">
                  <c:v>3.4545041007184585E-2</c:v>
                </c:pt>
                <c:pt idx="891">
                  <c:v>5.8553978298971243E-2</c:v>
                </c:pt>
                <c:pt idx="892">
                  <c:v>5.9303212340955147E-2</c:v>
                </c:pt>
                <c:pt idx="893">
                  <c:v>5.2285832787016817E-2</c:v>
                </c:pt>
                <c:pt idx="894">
                  <c:v>5.1436254900124601E-2</c:v>
                </c:pt>
                <c:pt idx="895">
                  <c:v>4.0993805439974551E-2</c:v>
                </c:pt>
                <c:pt idx="896">
                  <c:v>3.6130473756739834E-2</c:v>
                </c:pt>
                <c:pt idx="897">
                  <c:v>3.3407810764887635E-2</c:v>
                </c:pt>
                <c:pt idx="898">
                  <c:v>2.1513720348393939E-2</c:v>
                </c:pt>
                <c:pt idx="899">
                  <c:v>2.7106217304630587E-2</c:v>
                </c:pt>
                <c:pt idx="900">
                  <c:v>2.6383741621289092E-2</c:v>
                </c:pt>
                <c:pt idx="901">
                  <c:v>2.0938415637584917E-2</c:v>
                </c:pt>
                <c:pt idx="902">
                  <c:v>1.9145605608551941E-2</c:v>
                </c:pt>
                <c:pt idx="903">
                  <c:v>1.6135290261295454E-2</c:v>
                </c:pt>
                <c:pt idx="904">
                  <c:v>9.0242564521092472E-3</c:v>
                </c:pt>
                <c:pt idx="905">
                  <c:v>9.0242564521092472E-3</c:v>
                </c:pt>
                <c:pt idx="906">
                  <c:v>5.6125657252183991E-3</c:v>
                </c:pt>
                <c:pt idx="907">
                  <c:v>8.7700520450075814E-3</c:v>
                </c:pt>
                <c:pt idx="908">
                  <c:v>1.5559985550486433E-2</c:v>
                </c:pt>
                <c:pt idx="909">
                  <c:v>1.4670270125630491E-2</c:v>
                </c:pt>
                <c:pt idx="910">
                  <c:v>1.6422942616699965E-2</c:v>
                </c:pt>
                <c:pt idx="911">
                  <c:v>1.4777303560199684E-2</c:v>
                </c:pt>
                <c:pt idx="912">
                  <c:v>1.9386430836332513E-2</c:v>
                </c:pt>
                <c:pt idx="913">
                  <c:v>2.1246136761970957E-2</c:v>
                </c:pt>
                <c:pt idx="914">
                  <c:v>1.5553295960825775E-2</c:v>
                </c:pt>
                <c:pt idx="915">
                  <c:v>1.681093881701301E-2</c:v>
                </c:pt>
                <c:pt idx="916">
                  <c:v>1.122513145043702E-2</c:v>
                </c:pt>
                <c:pt idx="917">
                  <c:v>1.1432508729914526E-2</c:v>
                </c:pt>
                <c:pt idx="918">
                  <c:v>4.4017499966553242E-3</c:v>
                </c:pt>
                <c:pt idx="919">
                  <c:v>5.2713966525295142E-3</c:v>
                </c:pt>
                <c:pt idx="920">
                  <c:v>1.4549857511740205E-2</c:v>
                </c:pt>
                <c:pt idx="921">
                  <c:v>1.2997872710488023E-2</c:v>
                </c:pt>
                <c:pt idx="922">
                  <c:v>1.6677147023801631E-2</c:v>
                </c:pt>
                <c:pt idx="923">
                  <c:v>2.2276333569698936E-2</c:v>
                </c:pt>
                <c:pt idx="924">
                  <c:v>2.2276333569698936E-2</c:v>
                </c:pt>
                <c:pt idx="925">
                  <c:v>2.5487336606772715E-2</c:v>
                </c:pt>
                <c:pt idx="926">
                  <c:v>3.1220314945881178E-2</c:v>
                </c:pt>
                <c:pt idx="927">
                  <c:v>3.7026878771256211E-2</c:v>
                </c:pt>
                <c:pt idx="928">
                  <c:v>3.6210748832666617E-2</c:v>
                </c:pt>
                <c:pt idx="929">
                  <c:v>3.7013499591935117E-2</c:v>
                </c:pt>
                <c:pt idx="930">
                  <c:v>2.8551168671313798E-2</c:v>
                </c:pt>
                <c:pt idx="931">
                  <c:v>2.3600872322491862E-2</c:v>
                </c:pt>
                <c:pt idx="932">
                  <c:v>2.2998809253040431E-2</c:v>
                </c:pt>
                <c:pt idx="933">
                  <c:v>2.7868830525935584E-2</c:v>
                </c:pt>
                <c:pt idx="934">
                  <c:v>2.756779899120998E-2</c:v>
                </c:pt>
                <c:pt idx="935">
                  <c:v>2.8531099902332047E-2</c:v>
                </c:pt>
                <c:pt idx="936">
                  <c:v>2.0430006823381586E-2</c:v>
                </c:pt>
                <c:pt idx="937">
                  <c:v>1.1131477195188921E-2</c:v>
                </c:pt>
                <c:pt idx="938">
                  <c:v>1.7446449834767286E-2</c:v>
                </c:pt>
                <c:pt idx="939">
                  <c:v>2.0737727947767626E-2</c:v>
                </c:pt>
                <c:pt idx="940">
                  <c:v>1.9888150060875187E-2</c:v>
                </c:pt>
                <c:pt idx="941">
                  <c:v>1.6416253027039529E-2</c:v>
                </c:pt>
                <c:pt idx="942">
                  <c:v>2.3366736684371725E-2</c:v>
                </c:pt>
                <c:pt idx="943">
                  <c:v>3.0410874596952242E-2</c:v>
                </c:pt>
                <c:pt idx="944">
                  <c:v>2.6022503779618233E-2</c:v>
                </c:pt>
                <c:pt idx="945">
                  <c:v>2.309246350828853E-2</c:v>
                </c:pt>
                <c:pt idx="946">
                  <c:v>1.937305165701142E-2</c:v>
                </c:pt>
                <c:pt idx="947">
                  <c:v>1.9827943753930155E-2</c:v>
                </c:pt>
                <c:pt idx="948">
                  <c:v>1.2302155385788716E-2</c:v>
                </c:pt>
                <c:pt idx="949">
                  <c:v>2.5748230603534816E-2</c:v>
                </c:pt>
                <c:pt idx="950">
                  <c:v>2.148696198975153E-2</c:v>
                </c:pt>
                <c:pt idx="951">
                  <c:v>2.9287023533976608E-2</c:v>
                </c:pt>
                <c:pt idx="952">
                  <c:v>3.1186866997578555E-2</c:v>
                </c:pt>
                <c:pt idx="953">
                  <c:v>3.6291023908593401E-2</c:v>
                </c:pt>
                <c:pt idx="954">
                  <c:v>4.1555730971462257E-2</c:v>
                </c:pt>
                <c:pt idx="955">
                  <c:v>4.5743414098979196E-2</c:v>
                </c:pt>
                <c:pt idx="956">
                  <c:v>4.8860762880805098E-2</c:v>
                </c:pt>
                <c:pt idx="957">
                  <c:v>6.1370295546071318E-2</c:v>
                </c:pt>
                <c:pt idx="958">
                  <c:v>5.7657573284454866E-2</c:v>
                </c:pt>
                <c:pt idx="959">
                  <c:v>5.450677655432612E-2</c:v>
                </c:pt>
                <c:pt idx="960">
                  <c:v>6.0273202841737872E-2</c:v>
                </c:pt>
                <c:pt idx="961">
                  <c:v>6.3805306182518784E-2</c:v>
                </c:pt>
                <c:pt idx="962">
                  <c:v>6.2447319481423014E-2</c:v>
                </c:pt>
                <c:pt idx="963">
                  <c:v>6.5564668263248693E-2</c:v>
                </c:pt>
                <c:pt idx="964">
                  <c:v>6.8641879507111092E-2</c:v>
                </c:pt>
                <c:pt idx="965">
                  <c:v>7.1973295158075157E-2</c:v>
                </c:pt>
                <c:pt idx="966">
                  <c:v>5.8018811126125502E-2</c:v>
                </c:pt>
                <c:pt idx="967">
                  <c:v>6.2246631791605944E-2</c:v>
                </c:pt>
                <c:pt idx="968">
                  <c:v>6.1684706260118016E-2</c:v>
                </c:pt>
                <c:pt idx="969">
                  <c:v>5.3690646615736526E-2</c:v>
                </c:pt>
                <c:pt idx="970">
                  <c:v>5.3690646615736526E-2</c:v>
                </c:pt>
                <c:pt idx="971">
                  <c:v>5.4747601782106692E-2</c:v>
                </c:pt>
                <c:pt idx="972">
                  <c:v>5.5965107100330425E-2</c:v>
                </c:pt>
                <c:pt idx="973">
                  <c:v>5.5717592282889417E-2</c:v>
                </c:pt>
                <c:pt idx="974">
                  <c:v>5.5717592282889417E-2</c:v>
                </c:pt>
                <c:pt idx="975">
                  <c:v>6.069464699035354E-2</c:v>
                </c:pt>
                <c:pt idx="976">
                  <c:v>6.1510776928943134E-2</c:v>
                </c:pt>
                <c:pt idx="977">
                  <c:v>6.4146475255207891E-2</c:v>
                </c:pt>
                <c:pt idx="978">
                  <c:v>5.8861699423357283E-2</c:v>
                </c:pt>
                <c:pt idx="979">
                  <c:v>7.0421310356822753E-2</c:v>
                </c:pt>
                <c:pt idx="980">
                  <c:v>7.0421310356822753E-2</c:v>
                </c:pt>
                <c:pt idx="981">
                  <c:v>7.0421310356822753E-2</c:v>
                </c:pt>
                <c:pt idx="982">
                  <c:v>7.8161165594102577E-2</c:v>
                </c:pt>
                <c:pt idx="983">
                  <c:v>6.9618559597554475E-2</c:v>
                </c:pt>
                <c:pt idx="984">
                  <c:v>6.9150288321314424E-2</c:v>
                </c:pt>
                <c:pt idx="985">
                  <c:v>7.2568668637865708E-2</c:v>
                </c:pt>
                <c:pt idx="986">
                  <c:v>7.2709150020737745E-2</c:v>
                </c:pt>
                <c:pt idx="987">
                  <c:v>7.0106899642776055E-2</c:v>
                </c:pt>
                <c:pt idx="988">
                  <c:v>6.9310838473168213E-2</c:v>
                </c:pt>
                <c:pt idx="989">
                  <c:v>7.6388424334051352E-2</c:v>
                </c:pt>
                <c:pt idx="990">
                  <c:v>7.7659446369559904E-2</c:v>
                </c:pt>
                <c:pt idx="991">
                  <c:v>7.8281578207992863E-2</c:v>
                </c:pt>
                <c:pt idx="992">
                  <c:v>8.4295519312845402E-2</c:v>
                </c:pt>
                <c:pt idx="993">
                  <c:v>9.5620994608190735E-2</c:v>
                </c:pt>
                <c:pt idx="994">
                  <c:v>9.3788047041194478E-2</c:v>
                </c:pt>
                <c:pt idx="995">
                  <c:v>9.5814992708347368E-2</c:v>
                </c:pt>
                <c:pt idx="996">
                  <c:v>9.042318344192779E-2</c:v>
                </c:pt>
                <c:pt idx="997">
                  <c:v>8.8730717257803571E-2</c:v>
                </c:pt>
                <c:pt idx="998">
                  <c:v>9.0182358214147218E-2</c:v>
                </c:pt>
                <c:pt idx="999">
                  <c:v>8.5218682686004188E-2</c:v>
                </c:pt>
                <c:pt idx="1000">
                  <c:v>8.0495832385641508E-2</c:v>
                </c:pt>
                <c:pt idx="1001">
                  <c:v>7.8000615442248789E-2</c:v>
                </c:pt>
                <c:pt idx="1002">
                  <c:v>7.8060821749194043E-2</c:v>
                </c:pt>
                <c:pt idx="1003">
                  <c:v>7.8555851384076059E-2</c:v>
                </c:pt>
                <c:pt idx="1004">
                  <c:v>7.5137471067524775E-2</c:v>
                </c:pt>
                <c:pt idx="1005">
                  <c:v>7.5137471067524775E-2</c:v>
                </c:pt>
                <c:pt idx="1006">
                  <c:v>8.1592925089974955E-2</c:v>
                </c:pt>
                <c:pt idx="1007">
                  <c:v>7.2133845309928724E-2</c:v>
                </c:pt>
                <c:pt idx="1008">
                  <c:v>7.5686017419691609E-2</c:v>
                </c:pt>
                <c:pt idx="1009">
                  <c:v>7.9211431170812086E-2</c:v>
                </c:pt>
                <c:pt idx="1010">
                  <c:v>8.2629811487363591E-2</c:v>
                </c:pt>
                <c:pt idx="1011">
                  <c:v>7.9405429270968497E-2</c:v>
                </c:pt>
                <c:pt idx="1012">
                  <c:v>7.5699396599012703E-2</c:v>
                </c:pt>
                <c:pt idx="1013">
                  <c:v>7.9833563009245045E-2</c:v>
                </c:pt>
                <c:pt idx="1014">
                  <c:v>7.6455320230657264E-2</c:v>
                </c:pt>
                <c:pt idx="1015">
                  <c:v>8.5332405710233816E-2</c:v>
                </c:pt>
                <c:pt idx="1016">
                  <c:v>8.6054881393575311E-2</c:v>
                </c:pt>
                <c:pt idx="1017">
                  <c:v>8.4750411409764137E-2</c:v>
                </c:pt>
                <c:pt idx="1018">
                  <c:v>8.3004428508355321E-2</c:v>
                </c:pt>
                <c:pt idx="1019">
                  <c:v>8.3131530711906265E-2</c:v>
                </c:pt>
                <c:pt idx="1020">
                  <c:v>8.9894705858742707E-2</c:v>
                </c:pt>
                <c:pt idx="1021">
                  <c:v>9.3634186479001347E-2</c:v>
                </c:pt>
                <c:pt idx="1022">
                  <c:v>9.1480138608297734E-2</c:v>
                </c:pt>
                <c:pt idx="1023">
                  <c:v>9.1921651525895376E-2</c:v>
                </c:pt>
                <c:pt idx="1024">
                  <c:v>8.750652234991918E-2</c:v>
                </c:pt>
                <c:pt idx="1025">
                  <c:v>8.8683890130179632E-2</c:v>
                </c:pt>
                <c:pt idx="1026">
                  <c:v>7.9739908753997168E-2</c:v>
                </c:pt>
                <c:pt idx="1027">
                  <c:v>8.6315775390337635E-2</c:v>
                </c:pt>
                <c:pt idx="1028">
                  <c:v>8.3686766653733535E-2</c:v>
                </c:pt>
                <c:pt idx="1029">
                  <c:v>8.2087954724857193E-2</c:v>
                </c:pt>
                <c:pt idx="1030">
                  <c:v>8.2897395073786129E-2</c:v>
                </c:pt>
                <c:pt idx="1031">
                  <c:v>7.8187923952744764E-2</c:v>
                </c:pt>
                <c:pt idx="1032">
                  <c:v>8.6723840359632431E-2</c:v>
                </c:pt>
                <c:pt idx="1033">
                  <c:v>8.2014369238591067E-2</c:v>
                </c:pt>
                <c:pt idx="1034">
                  <c:v>7.3324592269510269E-2</c:v>
                </c:pt>
                <c:pt idx="1035">
                  <c:v>8.677066748725637E-2</c:v>
                </c:pt>
                <c:pt idx="1036">
                  <c:v>9.0804490052580178E-2</c:v>
                </c:pt>
                <c:pt idx="1037">
                  <c:v>8.5613368475977669E-2</c:v>
                </c:pt>
                <c:pt idx="1038">
                  <c:v>8.4429311106056781E-2</c:v>
                </c:pt>
                <c:pt idx="1039">
                  <c:v>8.1385547810497449E-2</c:v>
                </c:pt>
                <c:pt idx="1040">
                  <c:v>7.8883641277444072E-2</c:v>
                </c:pt>
                <c:pt idx="1041">
                  <c:v>7.9813494240263516E-2</c:v>
                </c:pt>
                <c:pt idx="1042">
                  <c:v>7.7692894317862526E-2</c:v>
                </c:pt>
                <c:pt idx="1043">
                  <c:v>8.7319213839423204E-2</c:v>
                </c:pt>
                <c:pt idx="1044">
                  <c:v>9.5627684197851393E-2</c:v>
                </c:pt>
                <c:pt idx="1045">
                  <c:v>9.9581231687248417E-2</c:v>
                </c:pt>
                <c:pt idx="1046">
                  <c:v>0.10265175334145016</c:v>
                </c:pt>
                <c:pt idx="1047">
                  <c:v>9.8056005244638422E-2</c:v>
                </c:pt>
                <c:pt idx="1048">
                  <c:v>0.10170852119930984</c:v>
                </c:pt>
                <c:pt idx="1049">
                  <c:v>0.11441874155439313</c:v>
                </c:pt>
                <c:pt idx="1050">
                  <c:v>0.11802443038144039</c:v>
                </c:pt>
                <c:pt idx="1051">
                  <c:v>0.12160336084984569</c:v>
                </c:pt>
                <c:pt idx="1052">
                  <c:v>0.12272052232316066</c:v>
                </c:pt>
                <c:pt idx="1053">
                  <c:v>0.12272052232316066</c:v>
                </c:pt>
                <c:pt idx="1054">
                  <c:v>0.12191108197423173</c:v>
                </c:pt>
                <c:pt idx="1055">
                  <c:v>0.12451333235219364</c:v>
                </c:pt>
                <c:pt idx="1056">
                  <c:v>0.12688144709203542</c:v>
                </c:pt>
                <c:pt idx="1057">
                  <c:v>0.1239246484620633</c:v>
                </c:pt>
                <c:pt idx="1058">
                  <c:v>0.1239246484620633</c:v>
                </c:pt>
                <c:pt idx="1059">
                  <c:v>0.11700092316337329</c:v>
                </c:pt>
                <c:pt idx="1060">
                  <c:v>0.12406512984493534</c:v>
                </c:pt>
                <c:pt idx="1061">
                  <c:v>0.11873352688546079</c:v>
                </c:pt>
                <c:pt idx="1062">
                  <c:v>0.12173046305339641</c:v>
                </c:pt>
                <c:pt idx="1063">
                  <c:v>0.11687382095982235</c:v>
                </c:pt>
                <c:pt idx="1064">
                  <c:v>0.12822605461381009</c:v>
                </c:pt>
                <c:pt idx="1065">
                  <c:v>0.1341797894117176</c:v>
                </c:pt>
                <c:pt idx="1066">
                  <c:v>0.14271570581860527</c:v>
                </c:pt>
                <c:pt idx="1067">
                  <c:v>0.14452858461661977</c:v>
                </c:pt>
                <c:pt idx="1068">
                  <c:v>0.14737166022236203</c:v>
                </c:pt>
                <c:pt idx="1069">
                  <c:v>0.14575277952450394</c:v>
                </c:pt>
                <c:pt idx="1070">
                  <c:v>0.14547850634842052</c:v>
                </c:pt>
                <c:pt idx="1071">
                  <c:v>0.14547850634842052</c:v>
                </c:pt>
                <c:pt idx="1072">
                  <c:v>0.14111689388972892</c:v>
                </c:pt>
                <c:pt idx="1073">
                  <c:v>0.14869619897515496</c:v>
                </c:pt>
                <c:pt idx="1074">
                  <c:v>0.15060273202841756</c:v>
                </c:pt>
                <c:pt idx="1075">
                  <c:v>0.16671126393107061</c:v>
                </c:pt>
                <c:pt idx="1076">
                  <c:v>0.18489356862850048</c:v>
                </c:pt>
                <c:pt idx="1077">
                  <c:v>0.1750197342894988</c:v>
                </c:pt>
                <c:pt idx="1078">
                  <c:v>0.15789438475843909</c:v>
                </c:pt>
                <c:pt idx="1079">
                  <c:v>0.16457728482934875</c:v>
                </c:pt>
                <c:pt idx="1080">
                  <c:v>0.16457728482934875</c:v>
                </c:pt>
                <c:pt idx="1081">
                  <c:v>0.16951420199884937</c:v>
                </c:pt>
                <c:pt idx="1082">
                  <c:v>0.16587506522349926</c:v>
                </c:pt>
                <c:pt idx="1083">
                  <c:v>0.15798134942402631</c:v>
                </c:pt>
                <c:pt idx="1084">
                  <c:v>0.1591921651525896</c:v>
                </c:pt>
                <c:pt idx="1085">
                  <c:v>0.17154783725566269</c:v>
                </c:pt>
                <c:pt idx="1086">
                  <c:v>0.16903255154328845</c:v>
                </c:pt>
                <c:pt idx="1087">
                  <c:v>0.17495283839289311</c:v>
                </c:pt>
                <c:pt idx="1088">
                  <c:v>0.17124680572093709</c:v>
                </c:pt>
                <c:pt idx="1089">
                  <c:v>0.16368087981483215</c:v>
                </c:pt>
                <c:pt idx="1090">
                  <c:v>0.16483148923645041</c:v>
                </c:pt>
                <c:pt idx="1091">
                  <c:v>0.16483148923645041</c:v>
                </c:pt>
                <c:pt idx="1092">
                  <c:v>0.16483148923645041</c:v>
                </c:pt>
                <c:pt idx="1093">
                  <c:v>0.17208969401816887</c:v>
                </c:pt>
                <c:pt idx="1094">
                  <c:v>0.17257134447373002</c:v>
                </c:pt>
                <c:pt idx="1095">
                  <c:v>0.17601648314892371</c:v>
                </c:pt>
                <c:pt idx="1096">
                  <c:v>0.17336071605367742</c:v>
                </c:pt>
                <c:pt idx="1097">
                  <c:v>0.16921317046412376</c:v>
                </c:pt>
                <c:pt idx="1098">
                  <c:v>0.16461742236731203</c:v>
                </c:pt>
                <c:pt idx="1099">
                  <c:v>0.14834165072314476</c:v>
                </c:pt>
              </c:numCache>
            </c:numRef>
          </c:val>
          <c:smooth val="0"/>
          <c:extLst>
            <c:ext xmlns:c16="http://schemas.microsoft.com/office/drawing/2014/chart" uri="{C3380CC4-5D6E-409C-BE32-E72D297353CC}">
              <c16:uniqueId val="{00000000-43E1-4895-B267-DD713BA2B0AD}"/>
            </c:ext>
          </c:extLst>
        </c:ser>
        <c:ser>
          <c:idx val="2"/>
          <c:order val="2"/>
          <c:tx>
            <c:v>Tech Index</c:v>
          </c:tx>
          <c:spPr>
            <a:ln w="12700" cap="rnd">
              <a:solidFill>
                <a:srgbClr val="C00000"/>
              </a:solidFill>
              <a:round/>
            </a:ln>
            <a:effectLst/>
          </c:spPr>
          <c:marker>
            <c:symbol val="none"/>
          </c:marker>
          <c:cat>
            <c:numRef>
              <c:f>'D2'!$A$2:$A$1101</c:f>
              <c:numCache>
                <c:formatCode>m/d/yyyy</c:formatCode>
                <c:ptCount val="1100"/>
                <c:pt idx="0">
                  <c:v>44543</c:v>
                </c:pt>
                <c:pt idx="1">
                  <c:v>44544</c:v>
                </c:pt>
                <c:pt idx="2">
                  <c:v>44545</c:v>
                </c:pt>
                <c:pt idx="3">
                  <c:v>44546</c:v>
                </c:pt>
                <c:pt idx="4">
                  <c:v>44547</c:v>
                </c:pt>
                <c:pt idx="5">
                  <c:v>44550</c:v>
                </c:pt>
                <c:pt idx="6">
                  <c:v>44551</c:v>
                </c:pt>
                <c:pt idx="7">
                  <c:v>44552</c:v>
                </c:pt>
                <c:pt idx="8">
                  <c:v>44553</c:v>
                </c:pt>
                <c:pt idx="9">
                  <c:v>44554</c:v>
                </c:pt>
                <c:pt idx="10">
                  <c:v>44557</c:v>
                </c:pt>
                <c:pt idx="11">
                  <c:v>44558</c:v>
                </c:pt>
                <c:pt idx="12">
                  <c:v>44559</c:v>
                </c:pt>
                <c:pt idx="13">
                  <c:v>44560</c:v>
                </c:pt>
                <c:pt idx="14">
                  <c:v>44561</c:v>
                </c:pt>
                <c:pt idx="15">
                  <c:v>44564</c:v>
                </c:pt>
                <c:pt idx="16">
                  <c:v>44565</c:v>
                </c:pt>
                <c:pt idx="17">
                  <c:v>44566</c:v>
                </c:pt>
                <c:pt idx="18">
                  <c:v>44567</c:v>
                </c:pt>
                <c:pt idx="19">
                  <c:v>44568</c:v>
                </c:pt>
                <c:pt idx="20">
                  <c:v>44571</c:v>
                </c:pt>
                <c:pt idx="21">
                  <c:v>44572</c:v>
                </c:pt>
                <c:pt idx="22">
                  <c:v>44573</c:v>
                </c:pt>
                <c:pt idx="23">
                  <c:v>44574</c:v>
                </c:pt>
                <c:pt idx="24">
                  <c:v>44575</c:v>
                </c:pt>
                <c:pt idx="25">
                  <c:v>44578</c:v>
                </c:pt>
                <c:pt idx="26">
                  <c:v>44579</c:v>
                </c:pt>
                <c:pt idx="27">
                  <c:v>44580</c:v>
                </c:pt>
                <c:pt idx="28">
                  <c:v>44581</c:v>
                </c:pt>
                <c:pt idx="29">
                  <c:v>44582</c:v>
                </c:pt>
                <c:pt idx="30">
                  <c:v>44585</c:v>
                </c:pt>
                <c:pt idx="31">
                  <c:v>44586</c:v>
                </c:pt>
                <c:pt idx="32">
                  <c:v>44587</c:v>
                </c:pt>
                <c:pt idx="33">
                  <c:v>44588</c:v>
                </c:pt>
                <c:pt idx="34">
                  <c:v>44589</c:v>
                </c:pt>
                <c:pt idx="35">
                  <c:v>44592</c:v>
                </c:pt>
                <c:pt idx="36">
                  <c:v>44593</c:v>
                </c:pt>
                <c:pt idx="37">
                  <c:v>44594</c:v>
                </c:pt>
                <c:pt idx="38">
                  <c:v>44595</c:v>
                </c:pt>
                <c:pt idx="39">
                  <c:v>44596</c:v>
                </c:pt>
                <c:pt idx="40">
                  <c:v>44599</c:v>
                </c:pt>
                <c:pt idx="41">
                  <c:v>44600</c:v>
                </c:pt>
                <c:pt idx="42">
                  <c:v>44601</c:v>
                </c:pt>
                <c:pt idx="43">
                  <c:v>44602</c:v>
                </c:pt>
                <c:pt idx="44">
                  <c:v>44603</c:v>
                </c:pt>
                <c:pt idx="45">
                  <c:v>44606</c:v>
                </c:pt>
                <c:pt idx="46">
                  <c:v>44607</c:v>
                </c:pt>
                <c:pt idx="47">
                  <c:v>44608</c:v>
                </c:pt>
                <c:pt idx="48">
                  <c:v>44609</c:v>
                </c:pt>
                <c:pt idx="49">
                  <c:v>44610</c:v>
                </c:pt>
                <c:pt idx="50">
                  <c:v>44613</c:v>
                </c:pt>
                <c:pt idx="51">
                  <c:v>44614</c:v>
                </c:pt>
                <c:pt idx="52">
                  <c:v>44615</c:v>
                </c:pt>
                <c:pt idx="53">
                  <c:v>44616</c:v>
                </c:pt>
                <c:pt idx="54">
                  <c:v>44617</c:v>
                </c:pt>
                <c:pt idx="55">
                  <c:v>44620</c:v>
                </c:pt>
                <c:pt idx="56">
                  <c:v>44621</c:v>
                </c:pt>
                <c:pt idx="57">
                  <c:v>44622</c:v>
                </c:pt>
                <c:pt idx="58">
                  <c:v>44623</c:v>
                </c:pt>
                <c:pt idx="59">
                  <c:v>44624</c:v>
                </c:pt>
                <c:pt idx="60">
                  <c:v>44627</c:v>
                </c:pt>
                <c:pt idx="61">
                  <c:v>44628</c:v>
                </c:pt>
                <c:pt idx="62">
                  <c:v>44629</c:v>
                </c:pt>
                <c:pt idx="63">
                  <c:v>44630</c:v>
                </c:pt>
                <c:pt idx="64">
                  <c:v>44631</c:v>
                </c:pt>
                <c:pt idx="65">
                  <c:v>44634</c:v>
                </c:pt>
                <c:pt idx="66">
                  <c:v>44635</c:v>
                </c:pt>
                <c:pt idx="67">
                  <c:v>44636</c:v>
                </c:pt>
                <c:pt idx="68">
                  <c:v>44637</c:v>
                </c:pt>
                <c:pt idx="69">
                  <c:v>44638</c:v>
                </c:pt>
                <c:pt idx="70">
                  <c:v>44641</c:v>
                </c:pt>
                <c:pt idx="71">
                  <c:v>44642</c:v>
                </c:pt>
                <c:pt idx="72">
                  <c:v>44643</c:v>
                </c:pt>
                <c:pt idx="73">
                  <c:v>44644</c:v>
                </c:pt>
                <c:pt idx="74">
                  <c:v>44645</c:v>
                </c:pt>
                <c:pt idx="75">
                  <c:v>44648</c:v>
                </c:pt>
                <c:pt idx="76">
                  <c:v>44649</c:v>
                </c:pt>
                <c:pt idx="77">
                  <c:v>44650</c:v>
                </c:pt>
                <c:pt idx="78">
                  <c:v>44651</c:v>
                </c:pt>
                <c:pt idx="79">
                  <c:v>44652</c:v>
                </c:pt>
                <c:pt idx="80">
                  <c:v>44655</c:v>
                </c:pt>
                <c:pt idx="81">
                  <c:v>44656</c:v>
                </c:pt>
                <c:pt idx="82">
                  <c:v>44657</c:v>
                </c:pt>
                <c:pt idx="83">
                  <c:v>44658</c:v>
                </c:pt>
                <c:pt idx="84">
                  <c:v>44659</c:v>
                </c:pt>
                <c:pt idx="85">
                  <c:v>44662</c:v>
                </c:pt>
                <c:pt idx="86">
                  <c:v>44663</c:v>
                </c:pt>
                <c:pt idx="87">
                  <c:v>44664</c:v>
                </c:pt>
                <c:pt idx="88">
                  <c:v>44665</c:v>
                </c:pt>
                <c:pt idx="89">
                  <c:v>44666</c:v>
                </c:pt>
                <c:pt idx="90">
                  <c:v>44669</c:v>
                </c:pt>
                <c:pt idx="91">
                  <c:v>44670</c:v>
                </c:pt>
                <c:pt idx="92">
                  <c:v>44671</c:v>
                </c:pt>
                <c:pt idx="93">
                  <c:v>44672</c:v>
                </c:pt>
                <c:pt idx="94">
                  <c:v>44673</c:v>
                </c:pt>
                <c:pt idx="95">
                  <c:v>44676</c:v>
                </c:pt>
                <c:pt idx="96">
                  <c:v>44677</c:v>
                </c:pt>
                <c:pt idx="97">
                  <c:v>44678</c:v>
                </c:pt>
                <c:pt idx="98">
                  <c:v>44679</c:v>
                </c:pt>
                <c:pt idx="99">
                  <c:v>44680</c:v>
                </c:pt>
                <c:pt idx="100">
                  <c:v>44683</c:v>
                </c:pt>
                <c:pt idx="101">
                  <c:v>44684</c:v>
                </c:pt>
                <c:pt idx="102">
                  <c:v>44685</c:v>
                </c:pt>
                <c:pt idx="103">
                  <c:v>44686</c:v>
                </c:pt>
                <c:pt idx="104">
                  <c:v>44687</c:v>
                </c:pt>
                <c:pt idx="105">
                  <c:v>44690</c:v>
                </c:pt>
                <c:pt idx="106">
                  <c:v>44691</c:v>
                </c:pt>
                <c:pt idx="107">
                  <c:v>44692</c:v>
                </c:pt>
                <c:pt idx="108">
                  <c:v>44693</c:v>
                </c:pt>
                <c:pt idx="109">
                  <c:v>44694</c:v>
                </c:pt>
                <c:pt idx="110">
                  <c:v>44697</c:v>
                </c:pt>
                <c:pt idx="111">
                  <c:v>44698</c:v>
                </c:pt>
                <c:pt idx="112">
                  <c:v>44699</c:v>
                </c:pt>
                <c:pt idx="113">
                  <c:v>44700</c:v>
                </c:pt>
                <c:pt idx="114">
                  <c:v>44701</c:v>
                </c:pt>
                <c:pt idx="115">
                  <c:v>44704</c:v>
                </c:pt>
                <c:pt idx="116">
                  <c:v>44705</c:v>
                </c:pt>
                <c:pt idx="117">
                  <c:v>44706</c:v>
                </c:pt>
                <c:pt idx="118">
                  <c:v>44707</c:v>
                </c:pt>
                <c:pt idx="119">
                  <c:v>44708</c:v>
                </c:pt>
                <c:pt idx="120">
                  <c:v>44711</c:v>
                </c:pt>
                <c:pt idx="121">
                  <c:v>44712</c:v>
                </c:pt>
                <c:pt idx="122">
                  <c:v>44713</c:v>
                </c:pt>
                <c:pt idx="123">
                  <c:v>44714</c:v>
                </c:pt>
                <c:pt idx="124">
                  <c:v>44715</c:v>
                </c:pt>
                <c:pt idx="125">
                  <c:v>44718</c:v>
                </c:pt>
                <c:pt idx="126">
                  <c:v>44719</c:v>
                </c:pt>
                <c:pt idx="127">
                  <c:v>44720</c:v>
                </c:pt>
                <c:pt idx="128">
                  <c:v>44721</c:v>
                </c:pt>
                <c:pt idx="129">
                  <c:v>44722</c:v>
                </c:pt>
                <c:pt idx="130">
                  <c:v>44725</c:v>
                </c:pt>
                <c:pt idx="131">
                  <c:v>44726</c:v>
                </c:pt>
                <c:pt idx="132">
                  <c:v>44727</c:v>
                </c:pt>
                <c:pt idx="133">
                  <c:v>44728</c:v>
                </c:pt>
                <c:pt idx="134">
                  <c:v>44729</c:v>
                </c:pt>
                <c:pt idx="135">
                  <c:v>44732</c:v>
                </c:pt>
                <c:pt idx="136">
                  <c:v>44733</c:v>
                </c:pt>
                <c:pt idx="137">
                  <c:v>44734</c:v>
                </c:pt>
                <c:pt idx="138">
                  <c:v>44735</c:v>
                </c:pt>
                <c:pt idx="139">
                  <c:v>44736</c:v>
                </c:pt>
                <c:pt idx="140">
                  <c:v>44739</c:v>
                </c:pt>
                <c:pt idx="141">
                  <c:v>44740</c:v>
                </c:pt>
                <c:pt idx="142">
                  <c:v>44741</c:v>
                </c:pt>
                <c:pt idx="143">
                  <c:v>44742</c:v>
                </c:pt>
                <c:pt idx="144">
                  <c:v>44743</c:v>
                </c:pt>
                <c:pt idx="145">
                  <c:v>44746</c:v>
                </c:pt>
                <c:pt idx="146">
                  <c:v>44747</c:v>
                </c:pt>
                <c:pt idx="147">
                  <c:v>44748</c:v>
                </c:pt>
                <c:pt idx="148">
                  <c:v>44749</c:v>
                </c:pt>
                <c:pt idx="149">
                  <c:v>44750</c:v>
                </c:pt>
                <c:pt idx="150">
                  <c:v>44753</c:v>
                </c:pt>
                <c:pt idx="151">
                  <c:v>44754</c:v>
                </c:pt>
                <c:pt idx="152">
                  <c:v>44755</c:v>
                </c:pt>
                <c:pt idx="153">
                  <c:v>44756</c:v>
                </c:pt>
                <c:pt idx="154">
                  <c:v>44757</c:v>
                </c:pt>
                <c:pt idx="155">
                  <c:v>44760</c:v>
                </c:pt>
                <c:pt idx="156">
                  <c:v>44761</c:v>
                </c:pt>
                <c:pt idx="157">
                  <c:v>44762</c:v>
                </c:pt>
                <c:pt idx="158">
                  <c:v>44763</c:v>
                </c:pt>
                <c:pt idx="159">
                  <c:v>44764</c:v>
                </c:pt>
                <c:pt idx="160">
                  <c:v>44767</c:v>
                </c:pt>
                <c:pt idx="161">
                  <c:v>44768</c:v>
                </c:pt>
                <c:pt idx="162">
                  <c:v>44769</c:v>
                </c:pt>
                <c:pt idx="163">
                  <c:v>44770</c:v>
                </c:pt>
                <c:pt idx="164">
                  <c:v>44771</c:v>
                </c:pt>
                <c:pt idx="165">
                  <c:v>44774</c:v>
                </c:pt>
                <c:pt idx="166">
                  <c:v>44775</c:v>
                </c:pt>
                <c:pt idx="167">
                  <c:v>44776</c:v>
                </c:pt>
                <c:pt idx="168">
                  <c:v>44777</c:v>
                </c:pt>
                <c:pt idx="169">
                  <c:v>44778</c:v>
                </c:pt>
                <c:pt idx="170">
                  <c:v>44781</c:v>
                </c:pt>
                <c:pt idx="171">
                  <c:v>44782</c:v>
                </c:pt>
                <c:pt idx="172">
                  <c:v>44783</c:v>
                </c:pt>
                <c:pt idx="173">
                  <c:v>44784</c:v>
                </c:pt>
                <c:pt idx="174">
                  <c:v>44785</c:v>
                </c:pt>
                <c:pt idx="175">
                  <c:v>44788</c:v>
                </c:pt>
                <c:pt idx="176">
                  <c:v>44789</c:v>
                </c:pt>
                <c:pt idx="177">
                  <c:v>44790</c:v>
                </c:pt>
                <c:pt idx="178">
                  <c:v>44791</c:v>
                </c:pt>
                <c:pt idx="179">
                  <c:v>44792</c:v>
                </c:pt>
                <c:pt idx="180">
                  <c:v>44795</c:v>
                </c:pt>
                <c:pt idx="181">
                  <c:v>44796</c:v>
                </c:pt>
                <c:pt idx="182">
                  <c:v>44797</c:v>
                </c:pt>
                <c:pt idx="183">
                  <c:v>44798</c:v>
                </c:pt>
                <c:pt idx="184">
                  <c:v>44799</c:v>
                </c:pt>
                <c:pt idx="185">
                  <c:v>44802</c:v>
                </c:pt>
                <c:pt idx="186">
                  <c:v>44803</c:v>
                </c:pt>
                <c:pt idx="187">
                  <c:v>44804</c:v>
                </c:pt>
                <c:pt idx="188">
                  <c:v>44805</c:v>
                </c:pt>
                <c:pt idx="189">
                  <c:v>44806</c:v>
                </c:pt>
                <c:pt idx="190">
                  <c:v>44809</c:v>
                </c:pt>
                <c:pt idx="191">
                  <c:v>44810</c:v>
                </c:pt>
                <c:pt idx="192">
                  <c:v>44811</c:v>
                </c:pt>
                <c:pt idx="193">
                  <c:v>44812</c:v>
                </c:pt>
                <c:pt idx="194">
                  <c:v>44813</c:v>
                </c:pt>
                <c:pt idx="195">
                  <c:v>44816</c:v>
                </c:pt>
                <c:pt idx="196">
                  <c:v>44817</c:v>
                </c:pt>
                <c:pt idx="197">
                  <c:v>44818</c:v>
                </c:pt>
                <c:pt idx="198">
                  <c:v>44819</c:v>
                </c:pt>
                <c:pt idx="199">
                  <c:v>44820</c:v>
                </c:pt>
                <c:pt idx="200">
                  <c:v>44823</c:v>
                </c:pt>
                <c:pt idx="201">
                  <c:v>44824</c:v>
                </c:pt>
                <c:pt idx="202">
                  <c:v>44825</c:v>
                </c:pt>
                <c:pt idx="203">
                  <c:v>44826</c:v>
                </c:pt>
                <c:pt idx="204">
                  <c:v>44827</c:v>
                </c:pt>
                <c:pt idx="205">
                  <c:v>44830</c:v>
                </c:pt>
                <c:pt idx="206">
                  <c:v>44831</c:v>
                </c:pt>
                <c:pt idx="207">
                  <c:v>44832</c:v>
                </c:pt>
                <c:pt idx="208">
                  <c:v>44833</c:v>
                </c:pt>
                <c:pt idx="209">
                  <c:v>44834</c:v>
                </c:pt>
                <c:pt idx="210">
                  <c:v>44837</c:v>
                </c:pt>
                <c:pt idx="211">
                  <c:v>44838</c:v>
                </c:pt>
                <c:pt idx="212">
                  <c:v>44839</c:v>
                </c:pt>
                <c:pt idx="213">
                  <c:v>44840</c:v>
                </c:pt>
                <c:pt idx="214">
                  <c:v>44841</c:v>
                </c:pt>
                <c:pt idx="215">
                  <c:v>44844</c:v>
                </c:pt>
                <c:pt idx="216">
                  <c:v>44845</c:v>
                </c:pt>
                <c:pt idx="217">
                  <c:v>44846</c:v>
                </c:pt>
                <c:pt idx="218">
                  <c:v>44847</c:v>
                </c:pt>
                <c:pt idx="219">
                  <c:v>44848</c:v>
                </c:pt>
                <c:pt idx="220">
                  <c:v>44851</c:v>
                </c:pt>
                <c:pt idx="221">
                  <c:v>44852</c:v>
                </c:pt>
                <c:pt idx="222">
                  <c:v>44853</c:v>
                </c:pt>
                <c:pt idx="223">
                  <c:v>44854</c:v>
                </c:pt>
                <c:pt idx="224">
                  <c:v>44855</c:v>
                </c:pt>
                <c:pt idx="225">
                  <c:v>44858</c:v>
                </c:pt>
                <c:pt idx="226">
                  <c:v>44859</c:v>
                </c:pt>
                <c:pt idx="227">
                  <c:v>44860</c:v>
                </c:pt>
                <c:pt idx="228">
                  <c:v>44861</c:v>
                </c:pt>
                <c:pt idx="229">
                  <c:v>44862</c:v>
                </c:pt>
                <c:pt idx="230">
                  <c:v>44865</c:v>
                </c:pt>
                <c:pt idx="231">
                  <c:v>44866</c:v>
                </c:pt>
                <c:pt idx="232">
                  <c:v>44867</c:v>
                </c:pt>
                <c:pt idx="233">
                  <c:v>44868</c:v>
                </c:pt>
                <c:pt idx="234">
                  <c:v>44869</c:v>
                </c:pt>
                <c:pt idx="235">
                  <c:v>44872</c:v>
                </c:pt>
                <c:pt idx="236">
                  <c:v>44873</c:v>
                </c:pt>
                <c:pt idx="237">
                  <c:v>44874</c:v>
                </c:pt>
                <c:pt idx="238">
                  <c:v>44875</c:v>
                </c:pt>
                <c:pt idx="239">
                  <c:v>44876</c:v>
                </c:pt>
                <c:pt idx="240">
                  <c:v>44879</c:v>
                </c:pt>
                <c:pt idx="241">
                  <c:v>44880</c:v>
                </c:pt>
                <c:pt idx="242">
                  <c:v>44881</c:v>
                </c:pt>
                <c:pt idx="243">
                  <c:v>44882</c:v>
                </c:pt>
                <c:pt idx="244">
                  <c:v>44883</c:v>
                </c:pt>
                <c:pt idx="245">
                  <c:v>44886</c:v>
                </c:pt>
                <c:pt idx="246">
                  <c:v>44887</c:v>
                </c:pt>
                <c:pt idx="247">
                  <c:v>44888</c:v>
                </c:pt>
                <c:pt idx="248">
                  <c:v>44889</c:v>
                </c:pt>
                <c:pt idx="249">
                  <c:v>44890</c:v>
                </c:pt>
                <c:pt idx="250">
                  <c:v>44893</c:v>
                </c:pt>
                <c:pt idx="251">
                  <c:v>44894</c:v>
                </c:pt>
                <c:pt idx="252">
                  <c:v>44895</c:v>
                </c:pt>
                <c:pt idx="253">
                  <c:v>44896</c:v>
                </c:pt>
                <c:pt idx="254">
                  <c:v>44897</c:v>
                </c:pt>
                <c:pt idx="255">
                  <c:v>44900</c:v>
                </c:pt>
                <c:pt idx="256">
                  <c:v>44901</c:v>
                </c:pt>
                <c:pt idx="257">
                  <c:v>44902</c:v>
                </c:pt>
                <c:pt idx="258">
                  <c:v>44903</c:v>
                </c:pt>
                <c:pt idx="259">
                  <c:v>44904</c:v>
                </c:pt>
                <c:pt idx="260">
                  <c:v>44907</c:v>
                </c:pt>
                <c:pt idx="261">
                  <c:v>44908</c:v>
                </c:pt>
                <c:pt idx="262">
                  <c:v>44909</c:v>
                </c:pt>
                <c:pt idx="263">
                  <c:v>44910</c:v>
                </c:pt>
                <c:pt idx="264">
                  <c:v>44911</c:v>
                </c:pt>
                <c:pt idx="265">
                  <c:v>44914</c:v>
                </c:pt>
                <c:pt idx="266">
                  <c:v>44915</c:v>
                </c:pt>
                <c:pt idx="267">
                  <c:v>44916</c:v>
                </c:pt>
                <c:pt idx="268">
                  <c:v>44917</c:v>
                </c:pt>
                <c:pt idx="269">
                  <c:v>44918</c:v>
                </c:pt>
                <c:pt idx="270">
                  <c:v>44921</c:v>
                </c:pt>
                <c:pt idx="271">
                  <c:v>44922</c:v>
                </c:pt>
                <c:pt idx="272">
                  <c:v>44923</c:v>
                </c:pt>
                <c:pt idx="273">
                  <c:v>44924</c:v>
                </c:pt>
                <c:pt idx="274">
                  <c:v>44925</c:v>
                </c:pt>
                <c:pt idx="275">
                  <c:v>44928</c:v>
                </c:pt>
                <c:pt idx="276">
                  <c:v>44929</c:v>
                </c:pt>
                <c:pt idx="277">
                  <c:v>44930</c:v>
                </c:pt>
                <c:pt idx="278">
                  <c:v>44931</c:v>
                </c:pt>
                <c:pt idx="279">
                  <c:v>44932</c:v>
                </c:pt>
                <c:pt idx="280">
                  <c:v>44935</c:v>
                </c:pt>
                <c:pt idx="281">
                  <c:v>44936</c:v>
                </c:pt>
                <c:pt idx="282">
                  <c:v>44937</c:v>
                </c:pt>
                <c:pt idx="283">
                  <c:v>44938</c:v>
                </c:pt>
                <c:pt idx="284">
                  <c:v>44939</c:v>
                </c:pt>
                <c:pt idx="285">
                  <c:v>44942</c:v>
                </c:pt>
                <c:pt idx="286">
                  <c:v>44943</c:v>
                </c:pt>
                <c:pt idx="287">
                  <c:v>44944</c:v>
                </c:pt>
                <c:pt idx="288">
                  <c:v>44945</c:v>
                </c:pt>
                <c:pt idx="289">
                  <c:v>44946</c:v>
                </c:pt>
                <c:pt idx="290">
                  <c:v>44949</c:v>
                </c:pt>
                <c:pt idx="291">
                  <c:v>44950</c:v>
                </c:pt>
                <c:pt idx="292">
                  <c:v>44951</c:v>
                </c:pt>
                <c:pt idx="293">
                  <c:v>44952</c:v>
                </c:pt>
                <c:pt idx="294">
                  <c:v>44953</c:v>
                </c:pt>
                <c:pt idx="295">
                  <c:v>44956</c:v>
                </c:pt>
                <c:pt idx="296">
                  <c:v>44957</c:v>
                </c:pt>
                <c:pt idx="297">
                  <c:v>44958</c:v>
                </c:pt>
                <c:pt idx="298">
                  <c:v>44959</c:v>
                </c:pt>
                <c:pt idx="299">
                  <c:v>44960</c:v>
                </c:pt>
                <c:pt idx="300">
                  <c:v>44963</c:v>
                </c:pt>
                <c:pt idx="301">
                  <c:v>44964</c:v>
                </c:pt>
                <c:pt idx="302">
                  <c:v>44965</c:v>
                </c:pt>
                <c:pt idx="303">
                  <c:v>44966</c:v>
                </c:pt>
                <c:pt idx="304">
                  <c:v>44967</c:v>
                </c:pt>
                <c:pt idx="305">
                  <c:v>44970</c:v>
                </c:pt>
                <c:pt idx="306">
                  <c:v>44971</c:v>
                </c:pt>
                <c:pt idx="307">
                  <c:v>44972</c:v>
                </c:pt>
                <c:pt idx="308">
                  <c:v>44973</c:v>
                </c:pt>
                <c:pt idx="309">
                  <c:v>44974</c:v>
                </c:pt>
                <c:pt idx="310">
                  <c:v>44977</c:v>
                </c:pt>
                <c:pt idx="311">
                  <c:v>44978</c:v>
                </c:pt>
                <c:pt idx="312">
                  <c:v>44979</c:v>
                </c:pt>
                <c:pt idx="313">
                  <c:v>44980</c:v>
                </c:pt>
                <c:pt idx="314">
                  <c:v>44981</c:v>
                </c:pt>
                <c:pt idx="315">
                  <c:v>44984</c:v>
                </c:pt>
                <c:pt idx="316">
                  <c:v>44985</c:v>
                </c:pt>
                <c:pt idx="317">
                  <c:v>44986</c:v>
                </c:pt>
                <c:pt idx="318">
                  <c:v>44987</c:v>
                </c:pt>
                <c:pt idx="319">
                  <c:v>44988</c:v>
                </c:pt>
                <c:pt idx="320">
                  <c:v>44991</c:v>
                </c:pt>
                <c:pt idx="321">
                  <c:v>44992</c:v>
                </c:pt>
                <c:pt idx="322">
                  <c:v>44993</c:v>
                </c:pt>
                <c:pt idx="323">
                  <c:v>44994</c:v>
                </c:pt>
                <c:pt idx="324">
                  <c:v>44995</c:v>
                </c:pt>
                <c:pt idx="325">
                  <c:v>44998</c:v>
                </c:pt>
                <c:pt idx="326">
                  <c:v>44999</c:v>
                </c:pt>
                <c:pt idx="327">
                  <c:v>45000</c:v>
                </c:pt>
                <c:pt idx="328">
                  <c:v>45001</c:v>
                </c:pt>
                <c:pt idx="329">
                  <c:v>45002</c:v>
                </c:pt>
                <c:pt idx="330">
                  <c:v>45005</c:v>
                </c:pt>
                <c:pt idx="331">
                  <c:v>45006</c:v>
                </c:pt>
                <c:pt idx="332">
                  <c:v>45007</c:v>
                </c:pt>
                <c:pt idx="333">
                  <c:v>45008</c:v>
                </c:pt>
                <c:pt idx="334">
                  <c:v>45009</c:v>
                </c:pt>
                <c:pt idx="335">
                  <c:v>45012</c:v>
                </c:pt>
                <c:pt idx="336">
                  <c:v>45013</c:v>
                </c:pt>
                <c:pt idx="337">
                  <c:v>45014</c:v>
                </c:pt>
                <c:pt idx="338">
                  <c:v>45015</c:v>
                </c:pt>
                <c:pt idx="339">
                  <c:v>45016</c:v>
                </c:pt>
                <c:pt idx="340">
                  <c:v>45019</c:v>
                </c:pt>
                <c:pt idx="341">
                  <c:v>45020</c:v>
                </c:pt>
                <c:pt idx="342">
                  <c:v>45021</c:v>
                </c:pt>
                <c:pt idx="343">
                  <c:v>45022</c:v>
                </c:pt>
                <c:pt idx="344">
                  <c:v>45023</c:v>
                </c:pt>
                <c:pt idx="345">
                  <c:v>45026</c:v>
                </c:pt>
                <c:pt idx="346">
                  <c:v>45027</c:v>
                </c:pt>
                <c:pt idx="347">
                  <c:v>45028</c:v>
                </c:pt>
                <c:pt idx="348">
                  <c:v>45029</c:v>
                </c:pt>
                <c:pt idx="349">
                  <c:v>45030</c:v>
                </c:pt>
                <c:pt idx="350">
                  <c:v>45033</c:v>
                </c:pt>
                <c:pt idx="351">
                  <c:v>45034</c:v>
                </c:pt>
                <c:pt idx="352">
                  <c:v>45035</c:v>
                </c:pt>
                <c:pt idx="353">
                  <c:v>45036</c:v>
                </c:pt>
                <c:pt idx="354">
                  <c:v>45037</c:v>
                </c:pt>
                <c:pt idx="355">
                  <c:v>45040</c:v>
                </c:pt>
                <c:pt idx="356">
                  <c:v>45041</c:v>
                </c:pt>
                <c:pt idx="357">
                  <c:v>45042</c:v>
                </c:pt>
                <c:pt idx="358">
                  <c:v>45043</c:v>
                </c:pt>
                <c:pt idx="359">
                  <c:v>45044</c:v>
                </c:pt>
                <c:pt idx="360">
                  <c:v>45047</c:v>
                </c:pt>
                <c:pt idx="361">
                  <c:v>45048</c:v>
                </c:pt>
                <c:pt idx="362">
                  <c:v>45049</c:v>
                </c:pt>
                <c:pt idx="363">
                  <c:v>45050</c:v>
                </c:pt>
                <c:pt idx="364">
                  <c:v>45051</c:v>
                </c:pt>
                <c:pt idx="365">
                  <c:v>45054</c:v>
                </c:pt>
                <c:pt idx="366">
                  <c:v>45055</c:v>
                </c:pt>
                <c:pt idx="367">
                  <c:v>45056</c:v>
                </c:pt>
                <c:pt idx="368">
                  <c:v>45057</c:v>
                </c:pt>
                <c:pt idx="369">
                  <c:v>45058</c:v>
                </c:pt>
                <c:pt idx="370">
                  <c:v>45061</c:v>
                </c:pt>
                <c:pt idx="371">
                  <c:v>45062</c:v>
                </c:pt>
                <c:pt idx="372">
                  <c:v>45063</c:v>
                </c:pt>
                <c:pt idx="373">
                  <c:v>45064</c:v>
                </c:pt>
                <c:pt idx="374">
                  <c:v>45065</c:v>
                </c:pt>
                <c:pt idx="375">
                  <c:v>45068</c:v>
                </c:pt>
                <c:pt idx="376">
                  <c:v>45069</c:v>
                </c:pt>
                <c:pt idx="377">
                  <c:v>45070</c:v>
                </c:pt>
                <c:pt idx="378">
                  <c:v>45071</c:v>
                </c:pt>
                <c:pt idx="379">
                  <c:v>45072</c:v>
                </c:pt>
                <c:pt idx="380">
                  <c:v>45075</c:v>
                </c:pt>
                <c:pt idx="381">
                  <c:v>45076</c:v>
                </c:pt>
                <c:pt idx="382">
                  <c:v>45077</c:v>
                </c:pt>
                <c:pt idx="383">
                  <c:v>45078</c:v>
                </c:pt>
                <c:pt idx="384">
                  <c:v>45079</c:v>
                </c:pt>
                <c:pt idx="385">
                  <c:v>45082</c:v>
                </c:pt>
                <c:pt idx="386">
                  <c:v>45083</c:v>
                </c:pt>
                <c:pt idx="387">
                  <c:v>45084</c:v>
                </c:pt>
                <c:pt idx="388">
                  <c:v>45085</c:v>
                </c:pt>
                <c:pt idx="389">
                  <c:v>45086</c:v>
                </c:pt>
                <c:pt idx="390">
                  <c:v>45089</c:v>
                </c:pt>
                <c:pt idx="391">
                  <c:v>45090</c:v>
                </c:pt>
                <c:pt idx="392">
                  <c:v>45091</c:v>
                </c:pt>
                <c:pt idx="393">
                  <c:v>45092</c:v>
                </c:pt>
                <c:pt idx="394">
                  <c:v>45093</c:v>
                </c:pt>
                <c:pt idx="395">
                  <c:v>45096</c:v>
                </c:pt>
                <c:pt idx="396">
                  <c:v>45097</c:v>
                </c:pt>
                <c:pt idx="397">
                  <c:v>45098</c:v>
                </c:pt>
                <c:pt idx="398">
                  <c:v>45099</c:v>
                </c:pt>
                <c:pt idx="399">
                  <c:v>45100</c:v>
                </c:pt>
                <c:pt idx="400">
                  <c:v>45103</c:v>
                </c:pt>
                <c:pt idx="401">
                  <c:v>45104</c:v>
                </c:pt>
                <c:pt idx="402">
                  <c:v>45105</c:v>
                </c:pt>
                <c:pt idx="403">
                  <c:v>45106</c:v>
                </c:pt>
                <c:pt idx="404">
                  <c:v>45107</c:v>
                </c:pt>
                <c:pt idx="405">
                  <c:v>45110</c:v>
                </c:pt>
                <c:pt idx="406">
                  <c:v>45111</c:v>
                </c:pt>
                <c:pt idx="407">
                  <c:v>45112</c:v>
                </c:pt>
                <c:pt idx="408">
                  <c:v>45113</c:v>
                </c:pt>
                <c:pt idx="409">
                  <c:v>45114</c:v>
                </c:pt>
                <c:pt idx="410">
                  <c:v>45117</c:v>
                </c:pt>
                <c:pt idx="411">
                  <c:v>45118</c:v>
                </c:pt>
                <c:pt idx="412">
                  <c:v>45119</c:v>
                </c:pt>
                <c:pt idx="413">
                  <c:v>45120</c:v>
                </c:pt>
                <c:pt idx="414">
                  <c:v>45121</c:v>
                </c:pt>
                <c:pt idx="415">
                  <c:v>45124</c:v>
                </c:pt>
                <c:pt idx="416">
                  <c:v>45125</c:v>
                </c:pt>
                <c:pt idx="417">
                  <c:v>45126</c:v>
                </c:pt>
                <c:pt idx="418">
                  <c:v>45127</c:v>
                </c:pt>
                <c:pt idx="419">
                  <c:v>45128</c:v>
                </c:pt>
                <c:pt idx="420">
                  <c:v>45131</c:v>
                </c:pt>
                <c:pt idx="421">
                  <c:v>45132</c:v>
                </c:pt>
                <c:pt idx="422">
                  <c:v>45133</c:v>
                </c:pt>
                <c:pt idx="423">
                  <c:v>45134</c:v>
                </c:pt>
                <c:pt idx="424">
                  <c:v>45135</c:v>
                </c:pt>
                <c:pt idx="425">
                  <c:v>45138</c:v>
                </c:pt>
                <c:pt idx="426">
                  <c:v>45139</c:v>
                </c:pt>
                <c:pt idx="427">
                  <c:v>45140</c:v>
                </c:pt>
                <c:pt idx="428">
                  <c:v>45141</c:v>
                </c:pt>
                <c:pt idx="429">
                  <c:v>45142</c:v>
                </c:pt>
                <c:pt idx="430">
                  <c:v>45145</c:v>
                </c:pt>
                <c:pt idx="431">
                  <c:v>45146</c:v>
                </c:pt>
                <c:pt idx="432">
                  <c:v>45147</c:v>
                </c:pt>
                <c:pt idx="433">
                  <c:v>45148</c:v>
                </c:pt>
                <c:pt idx="434">
                  <c:v>45149</c:v>
                </c:pt>
                <c:pt idx="435">
                  <c:v>45152</c:v>
                </c:pt>
                <c:pt idx="436">
                  <c:v>45153</c:v>
                </c:pt>
                <c:pt idx="437">
                  <c:v>45154</c:v>
                </c:pt>
                <c:pt idx="438">
                  <c:v>45155</c:v>
                </c:pt>
                <c:pt idx="439">
                  <c:v>45156</c:v>
                </c:pt>
                <c:pt idx="440">
                  <c:v>45159</c:v>
                </c:pt>
                <c:pt idx="441">
                  <c:v>45160</c:v>
                </c:pt>
                <c:pt idx="442">
                  <c:v>45161</c:v>
                </c:pt>
                <c:pt idx="443">
                  <c:v>45162</c:v>
                </c:pt>
                <c:pt idx="444">
                  <c:v>45163</c:v>
                </c:pt>
                <c:pt idx="445">
                  <c:v>45166</c:v>
                </c:pt>
                <c:pt idx="446">
                  <c:v>45167</c:v>
                </c:pt>
                <c:pt idx="447">
                  <c:v>45168</c:v>
                </c:pt>
                <c:pt idx="448">
                  <c:v>45169</c:v>
                </c:pt>
                <c:pt idx="449">
                  <c:v>45170</c:v>
                </c:pt>
                <c:pt idx="450">
                  <c:v>45173</c:v>
                </c:pt>
                <c:pt idx="451">
                  <c:v>45174</c:v>
                </c:pt>
                <c:pt idx="452">
                  <c:v>45175</c:v>
                </c:pt>
                <c:pt idx="453">
                  <c:v>45176</c:v>
                </c:pt>
                <c:pt idx="454">
                  <c:v>45177</c:v>
                </c:pt>
                <c:pt idx="455">
                  <c:v>45180</c:v>
                </c:pt>
                <c:pt idx="456">
                  <c:v>45181</c:v>
                </c:pt>
                <c:pt idx="457">
                  <c:v>45182</c:v>
                </c:pt>
                <c:pt idx="458">
                  <c:v>45183</c:v>
                </c:pt>
                <c:pt idx="459">
                  <c:v>45184</c:v>
                </c:pt>
                <c:pt idx="460">
                  <c:v>45187</c:v>
                </c:pt>
                <c:pt idx="461">
                  <c:v>45188</c:v>
                </c:pt>
                <c:pt idx="462">
                  <c:v>45189</c:v>
                </c:pt>
                <c:pt idx="463">
                  <c:v>45190</c:v>
                </c:pt>
                <c:pt idx="464">
                  <c:v>45191</c:v>
                </c:pt>
                <c:pt idx="465">
                  <c:v>45194</c:v>
                </c:pt>
                <c:pt idx="466">
                  <c:v>45195</c:v>
                </c:pt>
                <c:pt idx="467">
                  <c:v>45196</c:v>
                </c:pt>
                <c:pt idx="468">
                  <c:v>45197</c:v>
                </c:pt>
                <c:pt idx="469">
                  <c:v>45198</c:v>
                </c:pt>
                <c:pt idx="470">
                  <c:v>45201</c:v>
                </c:pt>
                <c:pt idx="471">
                  <c:v>45202</c:v>
                </c:pt>
                <c:pt idx="472">
                  <c:v>45203</c:v>
                </c:pt>
                <c:pt idx="473">
                  <c:v>45204</c:v>
                </c:pt>
                <c:pt idx="474">
                  <c:v>45205</c:v>
                </c:pt>
                <c:pt idx="475">
                  <c:v>45208</c:v>
                </c:pt>
                <c:pt idx="476">
                  <c:v>45209</c:v>
                </c:pt>
                <c:pt idx="477">
                  <c:v>45210</c:v>
                </c:pt>
                <c:pt idx="478">
                  <c:v>45211</c:v>
                </c:pt>
                <c:pt idx="479">
                  <c:v>45212</c:v>
                </c:pt>
                <c:pt idx="480">
                  <c:v>45215</c:v>
                </c:pt>
                <c:pt idx="481">
                  <c:v>45216</c:v>
                </c:pt>
                <c:pt idx="482">
                  <c:v>45217</c:v>
                </c:pt>
                <c:pt idx="483">
                  <c:v>45218</c:v>
                </c:pt>
                <c:pt idx="484">
                  <c:v>45219</c:v>
                </c:pt>
                <c:pt idx="485">
                  <c:v>45222</c:v>
                </c:pt>
                <c:pt idx="486">
                  <c:v>45223</c:v>
                </c:pt>
                <c:pt idx="487">
                  <c:v>45224</c:v>
                </c:pt>
                <c:pt idx="488">
                  <c:v>45225</c:v>
                </c:pt>
                <c:pt idx="489">
                  <c:v>45226</c:v>
                </c:pt>
                <c:pt idx="490">
                  <c:v>45229</c:v>
                </c:pt>
                <c:pt idx="491">
                  <c:v>45230</c:v>
                </c:pt>
                <c:pt idx="492">
                  <c:v>45231</c:v>
                </c:pt>
                <c:pt idx="493">
                  <c:v>45232</c:v>
                </c:pt>
                <c:pt idx="494">
                  <c:v>45233</c:v>
                </c:pt>
                <c:pt idx="495">
                  <c:v>45236</c:v>
                </c:pt>
                <c:pt idx="496">
                  <c:v>45237</c:v>
                </c:pt>
                <c:pt idx="497">
                  <c:v>45238</c:v>
                </c:pt>
                <c:pt idx="498">
                  <c:v>45239</c:v>
                </c:pt>
                <c:pt idx="499">
                  <c:v>45240</c:v>
                </c:pt>
                <c:pt idx="500">
                  <c:v>45243</c:v>
                </c:pt>
                <c:pt idx="501">
                  <c:v>45244</c:v>
                </c:pt>
                <c:pt idx="502">
                  <c:v>45245</c:v>
                </c:pt>
                <c:pt idx="503">
                  <c:v>45246</c:v>
                </c:pt>
                <c:pt idx="504">
                  <c:v>45247</c:v>
                </c:pt>
                <c:pt idx="505">
                  <c:v>45250</c:v>
                </c:pt>
                <c:pt idx="506">
                  <c:v>45251</c:v>
                </c:pt>
                <c:pt idx="507">
                  <c:v>45252</c:v>
                </c:pt>
                <c:pt idx="508">
                  <c:v>45253</c:v>
                </c:pt>
                <c:pt idx="509">
                  <c:v>45254</c:v>
                </c:pt>
                <c:pt idx="510">
                  <c:v>45257</c:v>
                </c:pt>
                <c:pt idx="511">
                  <c:v>45258</c:v>
                </c:pt>
                <c:pt idx="512">
                  <c:v>45259</c:v>
                </c:pt>
                <c:pt idx="513">
                  <c:v>45260</c:v>
                </c:pt>
                <c:pt idx="514">
                  <c:v>45261</c:v>
                </c:pt>
                <c:pt idx="515">
                  <c:v>45264</c:v>
                </c:pt>
                <c:pt idx="516">
                  <c:v>45265</c:v>
                </c:pt>
                <c:pt idx="517">
                  <c:v>45266</c:v>
                </c:pt>
                <c:pt idx="518">
                  <c:v>45267</c:v>
                </c:pt>
                <c:pt idx="519">
                  <c:v>45268</c:v>
                </c:pt>
                <c:pt idx="520">
                  <c:v>45271</c:v>
                </c:pt>
                <c:pt idx="521">
                  <c:v>45272</c:v>
                </c:pt>
                <c:pt idx="522">
                  <c:v>45273</c:v>
                </c:pt>
                <c:pt idx="523">
                  <c:v>45274</c:v>
                </c:pt>
                <c:pt idx="524">
                  <c:v>45275</c:v>
                </c:pt>
                <c:pt idx="525">
                  <c:v>45278</c:v>
                </c:pt>
                <c:pt idx="526">
                  <c:v>45279</c:v>
                </c:pt>
                <c:pt idx="527">
                  <c:v>45280</c:v>
                </c:pt>
                <c:pt idx="528">
                  <c:v>45281</c:v>
                </c:pt>
                <c:pt idx="529">
                  <c:v>45282</c:v>
                </c:pt>
                <c:pt idx="530">
                  <c:v>45285</c:v>
                </c:pt>
                <c:pt idx="531">
                  <c:v>45286</c:v>
                </c:pt>
                <c:pt idx="532">
                  <c:v>45287</c:v>
                </c:pt>
                <c:pt idx="533">
                  <c:v>45288</c:v>
                </c:pt>
                <c:pt idx="534">
                  <c:v>45289</c:v>
                </c:pt>
                <c:pt idx="535">
                  <c:v>45292</c:v>
                </c:pt>
                <c:pt idx="536">
                  <c:v>45293</c:v>
                </c:pt>
                <c:pt idx="537">
                  <c:v>45294</c:v>
                </c:pt>
                <c:pt idx="538">
                  <c:v>45295</c:v>
                </c:pt>
                <c:pt idx="539">
                  <c:v>45296</c:v>
                </c:pt>
                <c:pt idx="540">
                  <c:v>45299</c:v>
                </c:pt>
                <c:pt idx="541">
                  <c:v>45300</c:v>
                </c:pt>
                <c:pt idx="542">
                  <c:v>45301</c:v>
                </c:pt>
                <c:pt idx="543">
                  <c:v>45302</c:v>
                </c:pt>
                <c:pt idx="544">
                  <c:v>45303</c:v>
                </c:pt>
                <c:pt idx="545">
                  <c:v>45306</c:v>
                </c:pt>
                <c:pt idx="546">
                  <c:v>45307</c:v>
                </c:pt>
                <c:pt idx="547">
                  <c:v>45308</c:v>
                </c:pt>
                <c:pt idx="548">
                  <c:v>45309</c:v>
                </c:pt>
                <c:pt idx="549">
                  <c:v>45310</c:v>
                </c:pt>
                <c:pt idx="550">
                  <c:v>45313</c:v>
                </c:pt>
                <c:pt idx="551">
                  <c:v>45314</c:v>
                </c:pt>
                <c:pt idx="552">
                  <c:v>45315</c:v>
                </c:pt>
                <c:pt idx="553">
                  <c:v>45316</c:v>
                </c:pt>
                <c:pt idx="554">
                  <c:v>45317</c:v>
                </c:pt>
                <c:pt idx="555">
                  <c:v>45320</c:v>
                </c:pt>
                <c:pt idx="556">
                  <c:v>45321</c:v>
                </c:pt>
                <c:pt idx="557">
                  <c:v>45322</c:v>
                </c:pt>
                <c:pt idx="558">
                  <c:v>45323</c:v>
                </c:pt>
                <c:pt idx="559">
                  <c:v>45324</c:v>
                </c:pt>
                <c:pt idx="560">
                  <c:v>45327</c:v>
                </c:pt>
                <c:pt idx="561">
                  <c:v>45328</c:v>
                </c:pt>
                <c:pt idx="562">
                  <c:v>45329</c:v>
                </c:pt>
                <c:pt idx="563">
                  <c:v>45330</c:v>
                </c:pt>
                <c:pt idx="564">
                  <c:v>45331</c:v>
                </c:pt>
                <c:pt idx="565">
                  <c:v>45334</c:v>
                </c:pt>
                <c:pt idx="566">
                  <c:v>45335</c:v>
                </c:pt>
                <c:pt idx="567">
                  <c:v>45336</c:v>
                </c:pt>
                <c:pt idx="568">
                  <c:v>45337</c:v>
                </c:pt>
                <c:pt idx="569">
                  <c:v>45338</c:v>
                </c:pt>
                <c:pt idx="570">
                  <c:v>45341</c:v>
                </c:pt>
                <c:pt idx="571">
                  <c:v>45342</c:v>
                </c:pt>
                <c:pt idx="572">
                  <c:v>45343</c:v>
                </c:pt>
                <c:pt idx="573">
                  <c:v>45344</c:v>
                </c:pt>
                <c:pt idx="574">
                  <c:v>45345</c:v>
                </c:pt>
                <c:pt idx="575">
                  <c:v>45348</c:v>
                </c:pt>
                <c:pt idx="576">
                  <c:v>45349</c:v>
                </c:pt>
                <c:pt idx="577">
                  <c:v>45350</c:v>
                </c:pt>
                <c:pt idx="578">
                  <c:v>45351</c:v>
                </c:pt>
                <c:pt idx="579">
                  <c:v>45352</c:v>
                </c:pt>
                <c:pt idx="580">
                  <c:v>45355</c:v>
                </c:pt>
                <c:pt idx="581">
                  <c:v>45356</c:v>
                </c:pt>
                <c:pt idx="582">
                  <c:v>45357</c:v>
                </c:pt>
                <c:pt idx="583">
                  <c:v>45358</c:v>
                </c:pt>
                <c:pt idx="584">
                  <c:v>45359</c:v>
                </c:pt>
                <c:pt idx="585">
                  <c:v>45362</c:v>
                </c:pt>
                <c:pt idx="586">
                  <c:v>45363</c:v>
                </c:pt>
                <c:pt idx="587">
                  <c:v>45364</c:v>
                </c:pt>
                <c:pt idx="588">
                  <c:v>45365</c:v>
                </c:pt>
                <c:pt idx="589">
                  <c:v>45366</c:v>
                </c:pt>
                <c:pt idx="590">
                  <c:v>45369</c:v>
                </c:pt>
                <c:pt idx="591">
                  <c:v>45370</c:v>
                </c:pt>
                <c:pt idx="592">
                  <c:v>45371</c:v>
                </c:pt>
                <c:pt idx="593">
                  <c:v>45372</c:v>
                </c:pt>
                <c:pt idx="594">
                  <c:v>45373</c:v>
                </c:pt>
                <c:pt idx="595">
                  <c:v>45376</c:v>
                </c:pt>
                <c:pt idx="596">
                  <c:v>45377</c:v>
                </c:pt>
                <c:pt idx="597">
                  <c:v>45378</c:v>
                </c:pt>
                <c:pt idx="598">
                  <c:v>45379</c:v>
                </c:pt>
                <c:pt idx="599">
                  <c:v>45380</c:v>
                </c:pt>
                <c:pt idx="600">
                  <c:v>45383</c:v>
                </c:pt>
                <c:pt idx="601">
                  <c:v>45384</c:v>
                </c:pt>
                <c:pt idx="602">
                  <c:v>45385</c:v>
                </c:pt>
                <c:pt idx="603">
                  <c:v>45386</c:v>
                </c:pt>
                <c:pt idx="604">
                  <c:v>45387</c:v>
                </c:pt>
                <c:pt idx="605">
                  <c:v>45390</c:v>
                </c:pt>
                <c:pt idx="606">
                  <c:v>45391</c:v>
                </c:pt>
                <c:pt idx="607">
                  <c:v>45392</c:v>
                </c:pt>
                <c:pt idx="608">
                  <c:v>45393</c:v>
                </c:pt>
                <c:pt idx="609">
                  <c:v>45394</c:v>
                </c:pt>
                <c:pt idx="610">
                  <c:v>45397</c:v>
                </c:pt>
                <c:pt idx="611">
                  <c:v>45398</c:v>
                </c:pt>
                <c:pt idx="612">
                  <c:v>45399</c:v>
                </c:pt>
                <c:pt idx="613">
                  <c:v>45400</c:v>
                </c:pt>
                <c:pt idx="614">
                  <c:v>45401</c:v>
                </c:pt>
                <c:pt idx="615">
                  <c:v>45404</c:v>
                </c:pt>
                <c:pt idx="616">
                  <c:v>45405</c:v>
                </c:pt>
                <c:pt idx="617">
                  <c:v>45406</c:v>
                </c:pt>
                <c:pt idx="618">
                  <c:v>45407</c:v>
                </c:pt>
                <c:pt idx="619">
                  <c:v>45408</c:v>
                </c:pt>
                <c:pt idx="620">
                  <c:v>45411</c:v>
                </c:pt>
                <c:pt idx="621">
                  <c:v>45412</c:v>
                </c:pt>
                <c:pt idx="622">
                  <c:v>45413</c:v>
                </c:pt>
                <c:pt idx="623">
                  <c:v>45414</c:v>
                </c:pt>
                <c:pt idx="624">
                  <c:v>45415</c:v>
                </c:pt>
                <c:pt idx="625">
                  <c:v>45418</c:v>
                </c:pt>
                <c:pt idx="626">
                  <c:v>45419</c:v>
                </c:pt>
                <c:pt idx="627">
                  <c:v>45420</c:v>
                </c:pt>
                <c:pt idx="628">
                  <c:v>45421</c:v>
                </c:pt>
                <c:pt idx="629">
                  <c:v>45422</c:v>
                </c:pt>
                <c:pt idx="630">
                  <c:v>45425</c:v>
                </c:pt>
                <c:pt idx="631">
                  <c:v>45426</c:v>
                </c:pt>
                <c:pt idx="632">
                  <c:v>45427</c:v>
                </c:pt>
                <c:pt idx="633">
                  <c:v>45428</c:v>
                </c:pt>
                <c:pt idx="634">
                  <c:v>45429</c:v>
                </c:pt>
                <c:pt idx="635">
                  <c:v>45432</c:v>
                </c:pt>
                <c:pt idx="636">
                  <c:v>45433</c:v>
                </c:pt>
                <c:pt idx="637">
                  <c:v>45434</c:v>
                </c:pt>
                <c:pt idx="638">
                  <c:v>45435</c:v>
                </c:pt>
                <c:pt idx="639">
                  <c:v>45436</c:v>
                </c:pt>
                <c:pt idx="640">
                  <c:v>45439</c:v>
                </c:pt>
                <c:pt idx="641">
                  <c:v>45440</c:v>
                </c:pt>
                <c:pt idx="642">
                  <c:v>45441</c:v>
                </c:pt>
                <c:pt idx="643">
                  <c:v>45442</c:v>
                </c:pt>
                <c:pt idx="644">
                  <c:v>45443</c:v>
                </c:pt>
                <c:pt idx="645">
                  <c:v>45446</c:v>
                </c:pt>
                <c:pt idx="646">
                  <c:v>45447</c:v>
                </c:pt>
                <c:pt idx="647">
                  <c:v>45448</c:v>
                </c:pt>
                <c:pt idx="648">
                  <c:v>45449</c:v>
                </c:pt>
                <c:pt idx="649">
                  <c:v>45450</c:v>
                </c:pt>
                <c:pt idx="650">
                  <c:v>45453</c:v>
                </c:pt>
                <c:pt idx="651">
                  <c:v>45454</c:v>
                </c:pt>
                <c:pt idx="652">
                  <c:v>45455</c:v>
                </c:pt>
                <c:pt idx="653">
                  <c:v>45456</c:v>
                </c:pt>
                <c:pt idx="654">
                  <c:v>45457</c:v>
                </c:pt>
                <c:pt idx="655">
                  <c:v>45460</c:v>
                </c:pt>
                <c:pt idx="656">
                  <c:v>45461</c:v>
                </c:pt>
                <c:pt idx="657">
                  <c:v>45462</c:v>
                </c:pt>
                <c:pt idx="658">
                  <c:v>45463</c:v>
                </c:pt>
                <c:pt idx="659">
                  <c:v>45464</c:v>
                </c:pt>
                <c:pt idx="660">
                  <c:v>45467</c:v>
                </c:pt>
                <c:pt idx="661">
                  <c:v>45468</c:v>
                </c:pt>
                <c:pt idx="662">
                  <c:v>45469</c:v>
                </c:pt>
                <c:pt idx="663">
                  <c:v>45470</c:v>
                </c:pt>
                <c:pt idx="664">
                  <c:v>45471</c:v>
                </c:pt>
                <c:pt idx="665">
                  <c:v>45474</c:v>
                </c:pt>
                <c:pt idx="666">
                  <c:v>45475</c:v>
                </c:pt>
                <c:pt idx="667">
                  <c:v>45476</c:v>
                </c:pt>
                <c:pt idx="668">
                  <c:v>45477</c:v>
                </c:pt>
                <c:pt idx="669">
                  <c:v>45478</c:v>
                </c:pt>
                <c:pt idx="670">
                  <c:v>45481</c:v>
                </c:pt>
                <c:pt idx="671">
                  <c:v>45482</c:v>
                </c:pt>
                <c:pt idx="672">
                  <c:v>45483</c:v>
                </c:pt>
                <c:pt idx="673">
                  <c:v>45484</c:v>
                </c:pt>
                <c:pt idx="674">
                  <c:v>45485</c:v>
                </c:pt>
                <c:pt idx="675">
                  <c:v>45488</c:v>
                </c:pt>
                <c:pt idx="676">
                  <c:v>45489</c:v>
                </c:pt>
                <c:pt idx="677">
                  <c:v>45490</c:v>
                </c:pt>
                <c:pt idx="678">
                  <c:v>45491</c:v>
                </c:pt>
                <c:pt idx="679">
                  <c:v>45492</c:v>
                </c:pt>
                <c:pt idx="680">
                  <c:v>45495</c:v>
                </c:pt>
                <c:pt idx="681">
                  <c:v>45496</c:v>
                </c:pt>
                <c:pt idx="682">
                  <c:v>45497</c:v>
                </c:pt>
                <c:pt idx="683">
                  <c:v>45498</c:v>
                </c:pt>
                <c:pt idx="684">
                  <c:v>45499</c:v>
                </c:pt>
                <c:pt idx="685">
                  <c:v>45502</c:v>
                </c:pt>
                <c:pt idx="686">
                  <c:v>45503</c:v>
                </c:pt>
                <c:pt idx="687">
                  <c:v>45504</c:v>
                </c:pt>
                <c:pt idx="688">
                  <c:v>45505</c:v>
                </c:pt>
                <c:pt idx="689">
                  <c:v>45506</c:v>
                </c:pt>
                <c:pt idx="690">
                  <c:v>45509</c:v>
                </c:pt>
                <c:pt idx="691">
                  <c:v>45510</c:v>
                </c:pt>
                <c:pt idx="692">
                  <c:v>45511</c:v>
                </c:pt>
                <c:pt idx="693">
                  <c:v>45512</c:v>
                </c:pt>
                <c:pt idx="694">
                  <c:v>45513</c:v>
                </c:pt>
                <c:pt idx="695">
                  <c:v>45516</c:v>
                </c:pt>
                <c:pt idx="696">
                  <c:v>45517</c:v>
                </c:pt>
                <c:pt idx="697">
                  <c:v>45518</c:v>
                </c:pt>
                <c:pt idx="698">
                  <c:v>45519</c:v>
                </c:pt>
                <c:pt idx="699">
                  <c:v>45520</c:v>
                </c:pt>
                <c:pt idx="700">
                  <c:v>45523</c:v>
                </c:pt>
                <c:pt idx="701">
                  <c:v>45524</c:v>
                </c:pt>
                <c:pt idx="702">
                  <c:v>45525</c:v>
                </c:pt>
                <c:pt idx="703">
                  <c:v>45526</c:v>
                </c:pt>
                <c:pt idx="704">
                  <c:v>45527</c:v>
                </c:pt>
                <c:pt idx="705">
                  <c:v>45530</c:v>
                </c:pt>
                <c:pt idx="706">
                  <c:v>45531</c:v>
                </c:pt>
                <c:pt idx="707">
                  <c:v>45532</c:v>
                </c:pt>
                <c:pt idx="708">
                  <c:v>45533</c:v>
                </c:pt>
                <c:pt idx="709">
                  <c:v>45534</c:v>
                </c:pt>
                <c:pt idx="710">
                  <c:v>45537</c:v>
                </c:pt>
                <c:pt idx="711">
                  <c:v>45538</c:v>
                </c:pt>
                <c:pt idx="712">
                  <c:v>45539</c:v>
                </c:pt>
                <c:pt idx="713">
                  <c:v>45540</c:v>
                </c:pt>
                <c:pt idx="714">
                  <c:v>45541</c:v>
                </c:pt>
                <c:pt idx="715">
                  <c:v>45544</c:v>
                </c:pt>
                <c:pt idx="716">
                  <c:v>45545</c:v>
                </c:pt>
                <c:pt idx="717">
                  <c:v>45546</c:v>
                </c:pt>
                <c:pt idx="718">
                  <c:v>45547</c:v>
                </c:pt>
                <c:pt idx="719">
                  <c:v>45548</c:v>
                </c:pt>
                <c:pt idx="720">
                  <c:v>45551</c:v>
                </c:pt>
                <c:pt idx="721">
                  <c:v>45552</c:v>
                </c:pt>
                <c:pt idx="722">
                  <c:v>45553</c:v>
                </c:pt>
                <c:pt idx="723">
                  <c:v>45554</c:v>
                </c:pt>
                <c:pt idx="724">
                  <c:v>45555</c:v>
                </c:pt>
                <c:pt idx="725">
                  <c:v>45558</c:v>
                </c:pt>
                <c:pt idx="726">
                  <c:v>45559</c:v>
                </c:pt>
                <c:pt idx="727">
                  <c:v>45560</c:v>
                </c:pt>
                <c:pt idx="728">
                  <c:v>45561</c:v>
                </c:pt>
                <c:pt idx="729">
                  <c:v>45562</c:v>
                </c:pt>
                <c:pt idx="730">
                  <c:v>45565</c:v>
                </c:pt>
                <c:pt idx="731">
                  <c:v>45566</c:v>
                </c:pt>
                <c:pt idx="732">
                  <c:v>45567</c:v>
                </c:pt>
                <c:pt idx="733">
                  <c:v>45568</c:v>
                </c:pt>
                <c:pt idx="734">
                  <c:v>45569</c:v>
                </c:pt>
                <c:pt idx="735">
                  <c:v>45572</c:v>
                </c:pt>
                <c:pt idx="736">
                  <c:v>45573</c:v>
                </c:pt>
                <c:pt idx="737">
                  <c:v>45574</c:v>
                </c:pt>
                <c:pt idx="738">
                  <c:v>45575</c:v>
                </c:pt>
                <c:pt idx="739">
                  <c:v>45576</c:v>
                </c:pt>
                <c:pt idx="740">
                  <c:v>45579</c:v>
                </c:pt>
                <c:pt idx="741">
                  <c:v>45580</c:v>
                </c:pt>
                <c:pt idx="742">
                  <c:v>45581</c:v>
                </c:pt>
                <c:pt idx="743">
                  <c:v>45582</c:v>
                </c:pt>
                <c:pt idx="744">
                  <c:v>45583</c:v>
                </c:pt>
                <c:pt idx="745">
                  <c:v>45586</c:v>
                </c:pt>
                <c:pt idx="746">
                  <c:v>45587</c:v>
                </c:pt>
                <c:pt idx="747">
                  <c:v>45588</c:v>
                </c:pt>
                <c:pt idx="748">
                  <c:v>45589</c:v>
                </c:pt>
                <c:pt idx="749">
                  <c:v>45590</c:v>
                </c:pt>
                <c:pt idx="750">
                  <c:v>45593</c:v>
                </c:pt>
                <c:pt idx="751">
                  <c:v>45594</c:v>
                </c:pt>
                <c:pt idx="752">
                  <c:v>45595</c:v>
                </c:pt>
                <c:pt idx="753">
                  <c:v>45596</c:v>
                </c:pt>
                <c:pt idx="754">
                  <c:v>45597</c:v>
                </c:pt>
                <c:pt idx="755">
                  <c:v>45600</c:v>
                </c:pt>
                <c:pt idx="756">
                  <c:v>45601</c:v>
                </c:pt>
                <c:pt idx="757">
                  <c:v>45602</c:v>
                </c:pt>
                <c:pt idx="758">
                  <c:v>45603</c:v>
                </c:pt>
                <c:pt idx="759">
                  <c:v>45604</c:v>
                </c:pt>
                <c:pt idx="760">
                  <c:v>45607</c:v>
                </c:pt>
                <c:pt idx="761">
                  <c:v>45608</c:v>
                </c:pt>
                <c:pt idx="762">
                  <c:v>45609</c:v>
                </c:pt>
                <c:pt idx="763">
                  <c:v>45610</c:v>
                </c:pt>
                <c:pt idx="764">
                  <c:v>45611</c:v>
                </c:pt>
                <c:pt idx="765">
                  <c:v>45614</c:v>
                </c:pt>
                <c:pt idx="766">
                  <c:v>45615</c:v>
                </c:pt>
                <c:pt idx="767">
                  <c:v>45616</c:v>
                </c:pt>
                <c:pt idx="768">
                  <c:v>45617</c:v>
                </c:pt>
                <c:pt idx="769">
                  <c:v>45618</c:v>
                </c:pt>
                <c:pt idx="770">
                  <c:v>45621</c:v>
                </c:pt>
                <c:pt idx="771">
                  <c:v>45622</c:v>
                </c:pt>
                <c:pt idx="772">
                  <c:v>45623</c:v>
                </c:pt>
                <c:pt idx="773">
                  <c:v>45624</c:v>
                </c:pt>
                <c:pt idx="774">
                  <c:v>45625</c:v>
                </c:pt>
                <c:pt idx="775">
                  <c:v>45628</c:v>
                </c:pt>
                <c:pt idx="776">
                  <c:v>45629</c:v>
                </c:pt>
                <c:pt idx="777">
                  <c:v>45630</c:v>
                </c:pt>
                <c:pt idx="778">
                  <c:v>45631</c:v>
                </c:pt>
                <c:pt idx="779">
                  <c:v>45632</c:v>
                </c:pt>
                <c:pt idx="780">
                  <c:v>45635</c:v>
                </c:pt>
                <c:pt idx="781">
                  <c:v>45636</c:v>
                </c:pt>
                <c:pt idx="782">
                  <c:v>45637</c:v>
                </c:pt>
                <c:pt idx="783">
                  <c:v>45638</c:v>
                </c:pt>
                <c:pt idx="784">
                  <c:v>45639</c:v>
                </c:pt>
                <c:pt idx="785">
                  <c:v>45642</c:v>
                </c:pt>
                <c:pt idx="786">
                  <c:v>45643</c:v>
                </c:pt>
                <c:pt idx="787">
                  <c:v>45644</c:v>
                </c:pt>
                <c:pt idx="788">
                  <c:v>45645</c:v>
                </c:pt>
                <c:pt idx="789">
                  <c:v>45646</c:v>
                </c:pt>
                <c:pt idx="790">
                  <c:v>45649</c:v>
                </c:pt>
                <c:pt idx="791">
                  <c:v>45650</c:v>
                </c:pt>
                <c:pt idx="792">
                  <c:v>45651</c:v>
                </c:pt>
                <c:pt idx="793">
                  <c:v>45652</c:v>
                </c:pt>
                <c:pt idx="794">
                  <c:v>45653</c:v>
                </c:pt>
                <c:pt idx="795">
                  <c:v>45656</c:v>
                </c:pt>
                <c:pt idx="796">
                  <c:v>45657</c:v>
                </c:pt>
                <c:pt idx="797">
                  <c:v>45658</c:v>
                </c:pt>
                <c:pt idx="798">
                  <c:v>45659</c:v>
                </c:pt>
                <c:pt idx="799">
                  <c:v>45660</c:v>
                </c:pt>
                <c:pt idx="800">
                  <c:v>45663</c:v>
                </c:pt>
                <c:pt idx="801">
                  <c:v>45664</c:v>
                </c:pt>
                <c:pt idx="802">
                  <c:v>45665</c:v>
                </c:pt>
                <c:pt idx="803">
                  <c:v>45666</c:v>
                </c:pt>
                <c:pt idx="804">
                  <c:v>45667</c:v>
                </c:pt>
                <c:pt idx="805">
                  <c:v>45670</c:v>
                </c:pt>
                <c:pt idx="806">
                  <c:v>45671</c:v>
                </c:pt>
                <c:pt idx="807">
                  <c:v>45672</c:v>
                </c:pt>
                <c:pt idx="808">
                  <c:v>45673</c:v>
                </c:pt>
                <c:pt idx="809">
                  <c:v>45674</c:v>
                </c:pt>
                <c:pt idx="810">
                  <c:v>45677</c:v>
                </c:pt>
                <c:pt idx="811">
                  <c:v>45678</c:v>
                </c:pt>
                <c:pt idx="812">
                  <c:v>45679</c:v>
                </c:pt>
                <c:pt idx="813">
                  <c:v>45680</c:v>
                </c:pt>
                <c:pt idx="814">
                  <c:v>45681</c:v>
                </c:pt>
                <c:pt idx="815">
                  <c:v>45684</c:v>
                </c:pt>
                <c:pt idx="816">
                  <c:v>45685</c:v>
                </c:pt>
                <c:pt idx="817">
                  <c:v>45686</c:v>
                </c:pt>
                <c:pt idx="818">
                  <c:v>45687</c:v>
                </c:pt>
                <c:pt idx="819">
                  <c:v>45688</c:v>
                </c:pt>
                <c:pt idx="820">
                  <c:v>45691</c:v>
                </c:pt>
                <c:pt idx="821">
                  <c:v>45692</c:v>
                </c:pt>
                <c:pt idx="822">
                  <c:v>45693</c:v>
                </c:pt>
                <c:pt idx="823">
                  <c:v>45694</c:v>
                </c:pt>
                <c:pt idx="824">
                  <c:v>45695</c:v>
                </c:pt>
                <c:pt idx="825">
                  <c:v>45698</c:v>
                </c:pt>
                <c:pt idx="826">
                  <c:v>45699</c:v>
                </c:pt>
                <c:pt idx="827">
                  <c:v>45700</c:v>
                </c:pt>
                <c:pt idx="828">
                  <c:v>45701</c:v>
                </c:pt>
                <c:pt idx="829">
                  <c:v>45702</c:v>
                </c:pt>
                <c:pt idx="830">
                  <c:v>45705</c:v>
                </c:pt>
                <c:pt idx="831">
                  <c:v>45706</c:v>
                </c:pt>
                <c:pt idx="832">
                  <c:v>45707</c:v>
                </c:pt>
                <c:pt idx="833">
                  <c:v>45708</c:v>
                </c:pt>
                <c:pt idx="834">
                  <c:v>45709</c:v>
                </c:pt>
                <c:pt idx="835">
                  <c:v>45712</c:v>
                </c:pt>
                <c:pt idx="836">
                  <c:v>45713</c:v>
                </c:pt>
                <c:pt idx="837">
                  <c:v>45714</c:v>
                </c:pt>
                <c:pt idx="838">
                  <c:v>45715</c:v>
                </c:pt>
                <c:pt idx="839">
                  <c:v>45716</c:v>
                </c:pt>
                <c:pt idx="840">
                  <c:v>45719</c:v>
                </c:pt>
                <c:pt idx="841">
                  <c:v>45720</c:v>
                </c:pt>
                <c:pt idx="842">
                  <c:v>45721</c:v>
                </c:pt>
                <c:pt idx="843">
                  <c:v>45722</c:v>
                </c:pt>
                <c:pt idx="844">
                  <c:v>45723</c:v>
                </c:pt>
                <c:pt idx="845">
                  <c:v>45726</c:v>
                </c:pt>
                <c:pt idx="846">
                  <c:v>45727</c:v>
                </c:pt>
                <c:pt idx="847">
                  <c:v>45728</c:v>
                </c:pt>
                <c:pt idx="848">
                  <c:v>45729</c:v>
                </c:pt>
                <c:pt idx="849">
                  <c:v>45730</c:v>
                </c:pt>
                <c:pt idx="850">
                  <c:v>45733</c:v>
                </c:pt>
                <c:pt idx="851">
                  <c:v>45734</c:v>
                </c:pt>
                <c:pt idx="852">
                  <c:v>45735</c:v>
                </c:pt>
                <c:pt idx="853">
                  <c:v>45736</c:v>
                </c:pt>
                <c:pt idx="854">
                  <c:v>45737</c:v>
                </c:pt>
                <c:pt idx="855">
                  <c:v>45740</c:v>
                </c:pt>
                <c:pt idx="856">
                  <c:v>45741</c:v>
                </c:pt>
                <c:pt idx="857">
                  <c:v>45742</c:v>
                </c:pt>
                <c:pt idx="858">
                  <c:v>45743</c:v>
                </c:pt>
                <c:pt idx="859">
                  <c:v>45744</c:v>
                </c:pt>
                <c:pt idx="860">
                  <c:v>45747</c:v>
                </c:pt>
                <c:pt idx="861">
                  <c:v>45748</c:v>
                </c:pt>
                <c:pt idx="862">
                  <c:v>45749</c:v>
                </c:pt>
                <c:pt idx="863">
                  <c:v>45750</c:v>
                </c:pt>
                <c:pt idx="864">
                  <c:v>45751</c:v>
                </c:pt>
                <c:pt idx="865">
                  <c:v>45754</c:v>
                </c:pt>
                <c:pt idx="866">
                  <c:v>45755</c:v>
                </c:pt>
                <c:pt idx="867">
                  <c:v>45756</c:v>
                </c:pt>
                <c:pt idx="868">
                  <c:v>45757</c:v>
                </c:pt>
                <c:pt idx="869">
                  <c:v>45758</c:v>
                </c:pt>
                <c:pt idx="870">
                  <c:v>45761</c:v>
                </c:pt>
                <c:pt idx="871">
                  <c:v>45762</c:v>
                </c:pt>
                <c:pt idx="872">
                  <c:v>45763</c:v>
                </c:pt>
                <c:pt idx="873">
                  <c:v>45764</c:v>
                </c:pt>
                <c:pt idx="874">
                  <c:v>45765</c:v>
                </c:pt>
                <c:pt idx="875">
                  <c:v>45768</c:v>
                </c:pt>
                <c:pt idx="876">
                  <c:v>45769</c:v>
                </c:pt>
                <c:pt idx="877">
                  <c:v>45770</c:v>
                </c:pt>
                <c:pt idx="878">
                  <c:v>45771</c:v>
                </c:pt>
                <c:pt idx="879">
                  <c:v>45772</c:v>
                </c:pt>
                <c:pt idx="880">
                  <c:v>45775</c:v>
                </c:pt>
                <c:pt idx="881">
                  <c:v>45776</c:v>
                </c:pt>
                <c:pt idx="882">
                  <c:v>45777</c:v>
                </c:pt>
                <c:pt idx="883">
                  <c:v>45778</c:v>
                </c:pt>
                <c:pt idx="884">
                  <c:v>45779</c:v>
                </c:pt>
                <c:pt idx="885">
                  <c:v>45782</c:v>
                </c:pt>
                <c:pt idx="886">
                  <c:v>45783</c:v>
                </c:pt>
                <c:pt idx="887">
                  <c:v>45784</c:v>
                </c:pt>
                <c:pt idx="888">
                  <c:v>45785</c:v>
                </c:pt>
                <c:pt idx="889">
                  <c:v>45786</c:v>
                </c:pt>
                <c:pt idx="890">
                  <c:v>45789</c:v>
                </c:pt>
                <c:pt idx="891">
                  <c:v>45790</c:v>
                </c:pt>
                <c:pt idx="892">
                  <c:v>45791</c:v>
                </c:pt>
                <c:pt idx="893">
                  <c:v>45792</c:v>
                </c:pt>
                <c:pt idx="894">
                  <c:v>45793</c:v>
                </c:pt>
                <c:pt idx="895">
                  <c:v>45796</c:v>
                </c:pt>
                <c:pt idx="896">
                  <c:v>45797</c:v>
                </c:pt>
                <c:pt idx="897">
                  <c:v>45798</c:v>
                </c:pt>
                <c:pt idx="898">
                  <c:v>45799</c:v>
                </c:pt>
                <c:pt idx="899">
                  <c:v>45800</c:v>
                </c:pt>
                <c:pt idx="900">
                  <c:v>45803</c:v>
                </c:pt>
                <c:pt idx="901">
                  <c:v>45804</c:v>
                </c:pt>
                <c:pt idx="902">
                  <c:v>45805</c:v>
                </c:pt>
                <c:pt idx="903">
                  <c:v>45806</c:v>
                </c:pt>
                <c:pt idx="904">
                  <c:v>45807</c:v>
                </c:pt>
                <c:pt idx="905">
                  <c:v>45810</c:v>
                </c:pt>
                <c:pt idx="906">
                  <c:v>45811</c:v>
                </c:pt>
                <c:pt idx="907">
                  <c:v>45812</c:v>
                </c:pt>
                <c:pt idx="908">
                  <c:v>45813</c:v>
                </c:pt>
                <c:pt idx="909">
                  <c:v>45814</c:v>
                </c:pt>
                <c:pt idx="910">
                  <c:v>45817</c:v>
                </c:pt>
                <c:pt idx="911">
                  <c:v>45818</c:v>
                </c:pt>
                <c:pt idx="912">
                  <c:v>45819</c:v>
                </c:pt>
                <c:pt idx="913">
                  <c:v>45820</c:v>
                </c:pt>
                <c:pt idx="914">
                  <c:v>45821</c:v>
                </c:pt>
                <c:pt idx="915">
                  <c:v>45824</c:v>
                </c:pt>
                <c:pt idx="916">
                  <c:v>45825</c:v>
                </c:pt>
                <c:pt idx="917">
                  <c:v>45826</c:v>
                </c:pt>
                <c:pt idx="918">
                  <c:v>45827</c:v>
                </c:pt>
                <c:pt idx="919">
                  <c:v>45828</c:v>
                </c:pt>
                <c:pt idx="920">
                  <c:v>45831</c:v>
                </c:pt>
                <c:pt idx="921">
                  <c:v>45832</c:v>
                </c:pt>
                <c:pt idx="922">
                  <c:v>45833</c:v>
                </c:pt>
                <c:pt idx="923">
                  <c:v>45834</c:v>
                </c:pt>
                <c:pt idx="924">
                  <c:v>45835</c:v>
                </c:pt>
                <c:pt idx="925">
                  <c:v>45838</c:v>
                </c:pt>
                <c:pt idx="926">
                  <c:v>45839</c:v>
                </c:pt>
                <c:pt idx="927">
                  <c:v>45840</c:v>
                </c:pt>
                <c:pt idx="928">
                  <c:v>45841</c:v>
                </c:pt>
                <c:pt idx="929">
                  <c:v>45842</c:v>
                </c:pt>
                <c:pt idx="930">
                  <c:v>45845</c:v>
                </c:pt>
                <c:pt idx="931">
                  <c:v>45846</c:v>
                </c:pt>
                <c:pt idx="932">
                  <c:v>45847</c:v>
                </c:pt>
                <c:pt idx="933">
                  <c:v>45848</c:v>
                </c:pt>
                <c:pt idx="934">
                  <c:v>45849</c:v>
                </c:pt>
                <c:pt idx="935">
                  <c:v>45852</c:v>
                </c:pt>
                <c:pt idx="936">
                  <c:v>45853</c:v>
                </c:pt>
                <c:pt idx="937">
                  <c:v>45854</c:v>
                </c:pt>
                <c:pt idx="938">
                  <c:v>45855</c:v>
                </c:pt>
                <c:pt idx="939">
                  <c:v>45856</c:v>
                </c:pt>
                <c:pt idx="940">
                  <c:v>45859</c:v>
                </c:pt>
                <c:pt idx="941">
                  <c:v>45860</c:v>
                </c:pt>
                <c:pt idx="942">
                  <c:v>45861</c:v>
                </c:pt>
                <c:pt idx="943">
                  <c:v>45862</c:v>
                </c:pt>
                <c:pt idx="944">
                  <c:v>45863</c:v>
                </c:pt>
                <c:pt idx="945">
                  <c:v>45866</c:v>
                </c:pt>
                <c:pt idx="946">
                  <c:v>45867</c:v>
                </c:pt>
                <c:pt idx="947">
                  <c:v>45868</c:v>
                </c:pt>
                <c:pt idx="948">
                  <c:v>45869</c:v>
                </c:pt>
                <c:pt idx="949">
                  <c:v>45870</c:v>
                </c:pt>
                <c:pt idx="950">
                  <c:v>45873</c:v>
                </c:pt>
                <c:pt idx="951">
                  <c:v>45874</c:v>
                </c:pt>
                <c:pt idx="952">
                  <c:v>45875</c:v>
                </c:pt>
                <c:pt idx="953">
                  <c:v>45876</c:v>
                </c:pt>
                <c:pt idx="954">
                  <c:v>45877</c:v>
                </c:pt>
                <c:pt idx="955">
                  <c:v>45880</c:v>
                </c:pt>
                <c:pt idx="956">
                  <c:v>45881</c:v>
                </c:pt>
                <c:pt idx="957">
                  <c:v>45882</c:v>
                </c:pt>
                <c:pt idx="958">
                  <c:v>45883</c:v>
                </c:pt>
                <c:pt idx="959">
                  <c:v>45884</c:v>
                </c:pt>
                <c:pt idx="960">
                  <c:v>45887</c:v>
                </c:pt>
                <c:pt idx="961">
                  <c:v>45888</c:v>
                </c:pt>
                <c:pt idx="962">
                  <c:v>45889</c:v>
                </c:pt>
                <c:pt idx="963">
                  <c:v>45890</c:v>
                </c:pt>
                <c:pt idx="964">
                  <c:v>45891</c:v>
                </c:pt>
                <c:pt idx="965">
                  <c:v>45894</c:v>
                </c:pt>
                <c:pt idx="966">
                  <c:v>45895</c:v>
                </c:pt>
                <c:pt idx="967">
                  <c:v>45896</c:v>
                </c:pt>
                <c:pt idx="968">
                  <c:v>45897</c:v>
                </c:pt>
                <c:pt idx="969">
                  <c:v>45898</c:v>
                </c:pt>
                <c:pt idx="970">
                  <c:v>45901</c:v>
                </c:pt>
                <c:pt idx="971">
                  <c:v>45902</c:v>
                </c:pt>
                <c:pt idx="972">
                  <c:v>45903</c:v>
                </c:pt>
                <c:pt idx="973">
                  <c:v>45904</c:v>
                </c:pt>
                <c:pt idx="974">
                  <c:v>45905</c:v>
                </c:pt>
                <c:pt idx="975">
                  <c:v>45908</c:v>
                </c:pt>
                <c:pt idx="976">
                  <c:v>45909</c:v>
                </c:pt>
                <c:pt idx="977">
                  <c:v>45910</c:v>
                </c:pt>
                <c:pt idx="978">
                  <c:v>45911</c:v>
                </c:pt>
                <c:pt idx="979">
                  <c:v>45912</c:v>
                </c:pt>
                <c:pt idx="980">
                  <c:v>45915</c:v>
                </c:pt>
                <c:pt idx="981">
                  <c:v>45916</c:v>
                </c:pt>
                <c:pt idx="982">
                  <c:v>45917</c:v>
                </c:pt>
                <c:pt idx="983">
                  <c:v>45918</c:v>
                </c:pt>
                <c:pt idx="984">
                  <c:v>45919</c:v>
                </c:pt>
                <c:pt idx="985">
                  <c:v>45922</c:v>
                </c:pt>
                <c:pt idx="986">
                  <c:v>45923</c:v>
                </c:pt>
                <c:pt idx="987">
                  <c:v>45924</c:v>
                </c:pt>
                <c:pt idx="988">
                  <c:v>45925</c:v>
                </c:pt>
                <c:pt idx="989">
                  <c:v>45926</c:v>
                </c:pt>
                <c:pt idx="990">
                  <c:v>45929</c:v>
                </c:pt>
                <c:pt idx="991">
                  <c:v>45930</c:v>
                </c:pt>
                <c:pt idx="992">
                  <c:v>45931</c:v>
                </c:pt>
                <c:pt idx="993">
                  <c:v>45932</c:v>
                </c:pt>
                <c:pt idx="994">
                  <c:v>45933</c:v>
                </c:pt>
                <c:pt idx="995">
                  <c:v>45936</c:v>
                </c:pt>
                <c:pt idx="996">
                  <c:v>45937</c:v>
                </c:pt>
                <c:pt idx="997">
                  <c:v>45938</c:v>
                </c:pt>
                <c:pt idx="998">
                  <c:v>45939</c:v>
                </c:pt>
                <c:pt idx="999">
                  <c:v>45940</c:v>
                </c:pt>
                <c:pt idx="1000">
                  <c:v>45943</c:v>
                </c:pt>
                <c:pt idx="1001">
                  <c:v>45944</c:v>
                </c:pt>
                <c:pt idx="1002">
                  <c:v>45945</c:v>
                </c:pt>
                <c:pt idx="1003">
                  <c:v>45946</c:v>
                </c:pt>
                <c:pt idx="1004">
                  <c:v>45947</c:v>
                </c:pt>
                <c:pt idx="1005">
                  <c:v>45950</c:v>
                </c:pt>
                <c:pt idx="1006">
                  <c:v>45951</c:v>
                </c:pt>
                <c:pt idx="1007">
                  <c:v>45952</c:v>
                </c:pt>
                <c:pt idx="1008">
                  <c:v>45953</c:v>
                </c:pt>
                <c:pt idx="1009">
                  <c:v>45954</c:v>
                </c:pt>
                <c:pt idx="1010">
                  <c:v>45957</c:v>
                </c:pt>
                <c:pt idx="1011">
                  <c:v>45958</c:v>
                </c:pt>
                <c:pt idx="1012">
                  <c:v>45959</c:v>
                </c:pt>
                <c:pt idx="1013">
                  <c:v>45960</c:v>
                </c:pt>
                <c:pt idx="1014">
                  <c:v>45961</c:v>
                </c:pt>
                <c:pt idx="1015">
                  <c:v>45964</c:v>
                </c:pt>
                <c:pt idx="1016">
                  <c:v>45965</c:v>
                </c:pt>
                <c:pt idx="1017">
                  <c:v>45966</c:v>
                </c:pt>
                <c:pt idx="1018">
                  <c:v>45967</c:v>
                </c:pt>
                <c:pt idx="1019">
                  <c:v>45968</c:v>
                </c:pt>
                <c:pt idx="1020">
                  <c:v>45971</c:v>
                </c:pt>
                <c:pt idx="1021">
                  <c:v>45972</c:v>
                </c:pt>
                <c:pt idx="1022">
                  <c:v>45973</c:v>
                </c:pt>
                <c:pt idx="1023">
                  <c:v>45974</c:v>
                </c:pt>
                <c:pt idx="1024">
                  <c:v>45975</c:v>
                </c:pt>
                <c:pt idx="1025">
                  <c:v>45978</c:v>
                </c:pt>
                <c:pt idx="1026">
                  <c:v>45979</c:v>
                </c:pt>
                <c:pt idx="1027">
                  <c:v>45980</c:v>
                </c:pt>
                <c:pt idx="1028">
                  <c:v>45981</c:v>
                </c:pt>
                <c:pt idx="1029">
                  <c:v>45982</c:v>
                </c:pt>
                <c:pt idx="1030">
                  <c:v>45985</c:v>
                </c:pt>
                <c:pt idx="1031">
                  <c:v>45986</c:v>
                </c:pt>
                <c:pt idx="1032">
                  <c:v>45987</c:v>
                </c:pt>
                <c:pt idx="1033">
                  <c:v>45988</c:v>
                </c:pt>
                <c:pt idx="1034">
                  <c:v>45989</c:v>
                </c:pt>
                <c:pt idx="1035">
                  <c:v>45992</c:v>
                </c:pt>
                <c:pt idx="1036">
                  <c:v>45993</c:v>
                </c:pt>
                <c:pt idx="1037">
                  <c:v>45994</c:v>
                </c:pt>
                <c:pt idx="1038">
                  <c:v>45995</c:v>
                </c:pt>
                <c:pt idx="1039">
                  <c:v>45996</c:v>
                </c:pt>
                <c:pt idx="1040">
                  <c:v>45999</c:v>
                </c:pt>
                <c:pt idx="1041">
                  <c:v>46000</c:v>
                </c:pt>
                <c:pt idx="1042">
                  <c:v>46001</c:v>
                </c:pt>
                <c:pt idx="1043">
                  <c:v>46002</c:v>
                </c:pt>
                <c:pt idx="1044">
                  <c:v>46003</c:v>
                </c:pt>
                <c:pt idx="1045">
                  <c:v>46006</c:v>
                </c:pt>
                <c:pt idx="1046">
                  <c:v>46007</c:v>
                </c:pt>
                <c:pt idx="1047">
                  <c:v>46008</c:v>
                </c:pt>
                <c:pt idx="1048">
                  <c:v>46009</c:v>
                </c:pt>
                <c:pt idx="1049">
                  <c:v>46010</c:v>
                </c:pt>
                <c:pt idx="1050">
                  <c:v>46013</c:v>
                </c:pt>
                <c:pt idx="1051">
                  <c:v>46014</c:v>
                </c:pt>
                <c:pt idx="1052">
                  <c:v>46015</c:v>
                </c:pt>
                <c:pt idx="1053">
                  <c:v>46016</c:v>
                </c:pt>
                <c:pt idx="1054">
                  <c:v>46017</c:v>
                </c:pt>
                <c:pt idx="1055">
                  <c:v>46020</c:v>
                </c:pt>
                <c:pt idx="1056">
                  <c:v>46021</c:v>
                </c:pt>
                <c:pt idx="1057">
                  <c:v>46022</c:v>
                </c:pt>
                <c:pt idx="1058">
                  <c:v>46023</c:v>
                </c:pt>
                <c:pt idx="1059">
                  <c:v>46024</c:v>
                </c:pt>
                <c:pt idx="1060">
                  <c:v>46027</c:v>
                </c:pt>
                <c:pt idx="1061">
                  <c:v>46028</c:v>
                </c:pt>
                <c:pt idx="1062">
                  <c:v>46029</c:v>
                </c:pt>
                <c:pt idx="1063">
                  <c:v>46030</c:v>
                </c:pt>
                <c:pt idx="1064">
                  <c:v>46031</c:v>
                </c:pt>
                <c:pt idx="1065">
                  <c:v>46034</c:v>
                </c:pt>
                <c:pt idx="1066">
                  <c:v>46035</c:v>
                </c:pt>
                <c:pt idx="1067">
                  <c:v>46036</c:v>
                </c:pt>
                <c:pt idx="1068">
                  <c:v>46037</c:v>
                </c:pt>
                <c:pt idx="1069">
                  <c:v>46038</c:v>
                </c:pt>
                <c:pt idx="1070">
                  <c:v>46041</c:v>
                </c:pt>
                <c:pt idx="1071">
                  <c:v>46042</c:v>
                </c:pt>
                <c:pt idx="1072">
                  <c:v>46043</c:v>
                </c:pt>
                <c:pt idx="1073">
                  <c:v>46044</c:v>
                </c:pt>
                <c:pt idx="1074">
                  <c:v>46045</c:v>
                </c:pt>
                <c:pt idx="1075">
                  <c:v>46048</c:v>
                </c:pt>
                <c:pt idx="1076">
                  <c:v>46049</c:v>
                </c:pt>
                <c:pt idx="1077">
                  <c:v>46050</c:v>
                </c:pt>
                <c:pt idx="1078">
                  <c:v>46051</c:v>
                </c:pt>
                <c:pt idx="1079">
                  <c:v>46052</c:v>
                </c:pt>
                <c:pt idx="1080">
                  <c:v>46055</c:v>
                </c:pt>
                <c:pt idx="1081">
                  <c:v>46056</c:v>
                </c:pt>
                <c:pt idx="1082">
                  <c:v>46057</c:v>
                </c:pt>
                <c:pt idx="1083">
                  <c:v>46058</c:v>
                </c:pt>
                <c:pt idx="1084">
                  <c:v>46059</c:v>
                </c:pt>
                <c:pt idx="1085">
                  <c:v>46062</c:v>
                </c:pt>
                <c:pt idx="1086">
                  <c:v>46063</c:v>
                </c:pt>
                <c:pt idx="1087">
                  <c:v>46064</c:v>
                </c:pt>
                <c:pt idx="1088">
                  <c:v>46065</c:v>
                </c:pt>
                <c:pt idx="1089">
                  <c:v>46066</c:v>
                </c:pt>
                <c:pt idx="1090">
                  <c:v>46069</c:v>
                </c:pt>
                <c:pt idx="1091">
                  <c:v>46070</c:v>
                </c:pt>
                <c:pt idx="1092">
                  <c:v>46071</c:v>
                </c:pt>
                <c:pt idx="1093">
                  <c:v>46072</c:v>
                </c:pt>
                <c:pt idx="1094">
                  <c:v>46073</c:v>
                </c:pt>
                <c:pt idx="1095">
                  <c:v>46076</c:v>
                </c:pt>
                <c:pt idx="1096">
                  <c:v>46077</c:v>
                </c:pt>
                <c:pt idx="1097">
                  <c:v>46078</c:v>
                </c:pt>
                <c:pt idx="1098">
                  <c:v>46079</c:v>
                </c:pt>
                <c:pt idx="1099">
                  <c:v>46080</c:v>
                </c:pt>
              </c:numCache>
            </c:numRef>
          </c:cat>
          <c:val>
            <c:numRef>
              <c:f>'D2'!$D$2:$D$1101</c:f>
              <c:numCache>
                <c:formatCode>0.0%</c:formatCode>
                <c:ptCount val="1100"/>
                <c:pt idx="0">
                  <c:v>0</c:v>
                </c:pt>
                <c:pt idx="1">
                  <c:v>-2.6263262947788801E-3</c:v>
                </c:pt>
                <c:pt idx="2">
                  <c:v>-1.2606366214938935E-3</c:v>
                </c:pt>
                <c:pt idx="3">
                  <c:v>1.4707427250761906E-3</c:v>
                </c:pt>
                <c:pt idx="4">
                  <c:v>-8.7194032986658287E-3</c:v>
                </c:pt>
                <c:pt idx="5">
                  <c:v>-1.8804496270616533E-2</c:v>
                </c:pt>
                <c:pt idx="6">
                  <c:v>-1.4497321147179276E-2</c:v>
                </c:pt>
                <c:pt idx="7">
                  <c:v>-1.2396260111356194E-2</c:v>
                </c:pt>
                <c:pt idx="8">
                  <c:v>-3.7819098644815696E-3</c:v>
                </c:pt>
                <c:pt idx="9">
                  <c:v>-3.1515915537345673E-3</c:v>
                </c:pt>
                <c:pt idx="10">
                  <c:v>4.2021220716459418E-4</c:v>
                </c:pt>
                <c:pt idx="11">
                  <c:v>1.6283223027628857E-2</c:v>
                </c:pt>
                <c:pt idx="12">
                  <c:v>1.6913541338375859E-2</c:v>
                </c:pt>
                <c:pt idx="13">
                  <c:v>1.7018594390167063E-2</c:v>
                </c:pt>
                <c:pt idx="14">
                  <c:v>1.491753335434387E-2</c:v>
                </c:pt>
                <c:pt idx="15">
                  <c:v>2.39520958083832E-2</c:v>
                </c:pt>
                <c:pt idx="16">
                  <c:v>2.7103687362117768E-2</c:v>
                </c:pt>
                <c:pt idx="17">
                  <c:v>2.6263262947788579E-2</c:v>
                </c:pt>
                <c:pt idx="18">
                  <c:v>1.2186154007773897E-2</c:v>
                </c:pt>
                <c:pt idx="19">
                  <c:v>1.0295199075533112E-2</c:v>
                </c:pt>
                <c:pt idx="20">
                  <c:v>-2.0485345099275132E-2</c:v>
                </c:pt>
                <c:pt idx="21">
                  <c:v>-4.7694085513184103E-2</c:v>
                </c:pt>
                <c:pt idx="22">
                  <c:v>-4.202122071646186E-2</c:v>
                </c:pt>
                <c:pt idx="23">
                  <c:v>-6.5342998214098058E-2</c:v>
                </c:pt>
                <c:pt idx="24">
                  <c:v>-0.12658892740834116</c:v>
                </c:pt>
                <c:pt idx="25">
                  <c:v>-0.1222817522849039</c:v>
                </c:pt>
                <c:pt idx="26">
                  <c:v>-0.1222817522849039</c:v>
                </c:pt>
                <c:pt idx="27">
                  <c:v>-0.1571593654795671</c:v>
                </c:pt>
                <c:pt idx="28">
                  <c:v>-0.14119130160731164</c:v>
                </c:pt>
                <c:pt idx="29">
                  <c:v>-0.15505830444374402</c:v>
                </c:pt>
                <c:pt idx="30">
                  <c:v>-0.15778968379031411</c:v>
                </c:pt>
                <c:pt idx="31">
                  <c:v>-0.16829498896942952</c:v>
                </c:pt>
                <c:pt idx="32">
                  <c:v>-0.14822985607731909</c:v>
                </c:pt>
                <c:pt idx="33">
                  <c:v>-0.16073116924046638</c:v>
                </c:pt>
                <c:pt idx="34">
                  <c:v>-0.15558356970269993</c:v>
                </c:pt>
                <c:pt idx="35">
                  <c:v>-0.14056098329656475</c:v>
                </c:pt>
                <c:pt idx="36">
                  <c:v>-0.14056098329656475</c:v>
                </c:pt>
                <c:pt idx="37">
                  <c:v>-0.14056098329656475</c:v>
                </c:pt>
                <c:pt idx="38">
                  <c:v>-0.14171656686626743</c:v>
                </c:pt>
                <c:pt idx="39">
                  <c:v>-0.14392268095388172</c:v>
                </c:pt>
                <c:pt idx="40">
                  <c:v>-0.13373253493013981</c:v>
                </c:pt>
                <c:pt idx="41">
                  <c:v>-0.13131631473894312</c:v>
                </c:pt>
                <c:pt idx="42">
                  <c:v>-0.1225969114402774</c:v>
                </c:pt>
                <c:pt idx="43">
                  <c:v>-0.11104107574325028</c:v>
                </c:pt>
                <c:pt idx="44">
                  <c:v>-0.11881500157579583</c:v>
                </c:pt>
                <c:pt idx="45">
                  <c:v>-0.14108624855552043</c:v>
                </c:pt>
                <c:pt idx="46">
                  <c:v>-0.14171656686626743</c:v>
                </c:pt>
                <c:pt idx="47">
                  <c:v>-0.12932030675491124</c:v>
                </c:pt>
                <c:pt idx="48">
                  <c:v>-0.13383758798193079</c:v>
                </c:pt>
                <c:pt idx="49">
                  <c:v>-0.15190671289000934</c:v>
                </c:pt>
                <c:pt idx="50">
                  <c:v>-0.1830024162201912</c:v>
                </c:pt>
                <c:pt idx="51">
                  <c:v>-0.20958083832335328</c:v>
                </c:pt>
                <c:pt idx="52">
                  <c:v>-0.17669923311272184</c:v>
                </c:pt>
                <c:pt idx="53">
                  <c:v>-0.1952936232797563</c:v>
                </c:pt>
                <c:pt idx="54">
                  <c:v>-0.17669923311272184</c:v>
                </c:pt>
                <c:pt idx="55">
                  <c:v>-0.18594390167034358</c:v>
                </c:pt>
                <c:pt idx="56">
                  <c:v>-0.18688937913646386</c:v>
                </c:pt>
                <c:pt idx="57">
                  <c:v>-0.20380292047483972</c:v>
                </c:pt>
                <c:pt idx="58">
                  <c:v>-0.2196659312953041</c:v>
                </c:pt>
                <c:pt idx="59">
                  <c:v>-0.24676961865742197</c:v>
                </c:pt>
                <c:pt idx="60">
                  <c:v>-0.29498896942956188</c:v>
                </c:pt>
                <c:pt idx="61">
                  <c:v>-0.33743040235318833</c:v>
                </c:pt>
                <c:pt idx="62">
                  <c:v>-0.28343313373253498</c:v>
                </c:pt>
                <c:pt idx="63">
                  <c:v>-0.26294778863325985</c:v>
                </c:pt>
                <c:pt idx="64">
                  <c:v>-0.24855552053787155</c:v>
                </c:pt>
                <c:pt idx="65">
                  <c:v>-0.26168715201176596</c:v>
                </c:pt>
                <c:pt idx="66">
                  <c:v>-0.28732009664880764</c:v>
                </c:pt>
                <c:pt idx="67">
                  <c:v>-0.25097174072906814</c:v>
                </c:pt>
                <c:pt idx="68">
                  <c:v>-0.21535875617186684</c:v>
                </c:pt>
                <c:pt idx="69">
                  <c:v>-0.23353293413173659</c:v>
                </c:pt>
                <c:pt idx="70">
                  <c:v>-0.20516861014812482</c:v>
                </c:pt>
                <c:pt idx="71">
                  <c:v>-0.1958188885387121</c:v>
                </c:pt>
                <c:pt idx="72">
                  <c:v>-0.17207689883391108</c:v>
                </c:pt>
                <c:pt idx="73">
                  <c:v>-0.17648912700913955</c:v>
                </c:pt>
                <c:pt idx="74">
                  <c:v>-0.16535350351927713</c:v>
                </c:pt>
                <c:pt idx="75">
                  <c:v>-0.18636411387750806</c:v>
                </c:pt>
                <c:pt idx="76">
                  <c:v>-0.19823510872990868</c:v>
                </c:pt>
                <c:pt idx="77">
                  <c:v>-0.18793990965437546</c:v>
                </c:pt>
                <c:pt idx="78">
                  <c:v>-0.18699443218825507</c:v>
                </c:pt>
                <c:pt idx="79">
                  <c:v>-0.18667927303288157</c:v>
                </c:pt>
                <c:pt idx="80">
                  <c:v>-0.18657421998109036</c:v>
                </c:pt>
                <c:pt idx="81">
                  <c:v>-0.1707112091606261</c:v>
                </c:pt>
                <c:pt idx="82">
                  <c:v>-0.18100640823615932</c:v>
                </c:pt>
                <c:pt idx="83">
                  <c:v>-0.19781489652274398</c:v>
                </c:pt>
                <c:pt idx="84">
                  <c:v>-0.1949784641243828</c:v>
                </c:pt>
                <c:pt idx="85">
                  <c:v>-0.23363798718352768</c:v>
                </c:pt>
                <c:pt idx="86">
                  <c:v>-0.24004622334278802</c:v>
                </c:pt>
                <c:pt idx="87">
                  <c:v>-0.22975102426725502</c:v>
                </c:pt>
                <c:pt idx="88">
                  <c:v>-0.23699968484084466</c:v>
                </c:pt>
                <c:pt idx="89">
                  <c:v>-0.23899569282487654</c:v>
                </c:pt>
                <c:pt idx="90">
                  <c:v>-0.24256749658577581</c:v>
                </c:pt>
                <c:pt idx="91">
                  <c:v>-0.24256749658577581</c:v>
                </c:pt>
                <c:pt idx="92">
                  <c:v>-0.2325874566656162</c:v>
                </c:pt>
                <c:pt idx="93">
                  <c:v>-0.22712469797247614</c:v>
                </c:pt>
                <c:pt idx="94">
                  <c:v>-0.24540392898413699</c:v>
                </c:pt>
                <c:pt idx="95">
                  <c:v>-0.26567916797982971</c:v>
                </c:pt>
                <c:pt idx="96">
                  <c:v>-0.25822040130265778</c:v>
                </c:pt>
                <c:pt idx="97">
                  <c:v>-0.26767517596386181</c:v>
                </c:pt>
                <c:pt idx="98">
                  <c:v>-0.25296774871310013</c:v>
                </c:pt>
                <c:pt idx="99">
                  <c:v>-0.25065658157369475</c:v>
                </c:pt>
                <c:pt idx="100">
                  <c:v>-0.25065658157369475</c:v>
                </c:pt>
                <c:pt idx="101">
                  <c:v>-0.25065658157369475</c:v>
                </c:pt>
                <c:pt idx="102">
                  <c:v>-0.25065658157369475</c:v>
                </c:pt>
                <c:pt idx="103">
                  <c:v>-0.2687257064817733</c:v>
                </c:pt>
                <c:pt idx="104">
                  <c:v>-0.28689988444164305</c:v>
                </c:pt>
                <c:pt idx="105">
                  <c:v>-0.29887593234583465</c:v>
                </c:pt>
                <c:pt idx="106">
                  <c:v>-0.29803550793150546</c:v>
                </c:pt>
                <c:pt idx="107">
                  <c:v>-0.30391847883181</c:v>
                </c:pt>
                <c:pt idx="108">
                  <c:v>-0.33480407605840945</c:v>
                </c:pt>
                <c:pt idx="109">
                  <c:v>-0.30990650278390586</c:v>
                </c:pt>
                <c:pt idx="110">
                  <c:v>-0.30990650278390586</c:v>
                </c:pt>
                <c:pt idx="111">
                  <c:v>-0.29540918163672658</c:v>
                </c:pt>
                <c:pt idx="112">
                  <c:v>-0.29719508351717605</c:v>
                </c:pt>
                <c:pt idx="113">
                  <c:v>-0.30791049479987398</c:v>
                </c:pt>
                <c:pt idx="114">
                  <c:v>-0.30013656896732843</c:v>
                </c:pt>
                <c:pt idx="115">
                  <c:v>-0.3055993276604686</c:v>
                </c:pt>
                <c:pt idx="116">
                  <c:v>-0.31337325349301393</c:v>
                </c:pt>
                <c:pt idx="117">
                  <c:v>-0.31305809433764054</c:v>
                </c:pt>
                <c:pt idx="118">
                  <c:v>-0.29687992436180266</c:v>
                </c:pt>
                <c:pt idx="119">
                  <c:v>-0.30192247084777812</c:v>
                </c:pt>
                <c:pt idx="120">
                  <c:v>-0.29068179430612462</c:v>
                </c:pt>
                <c:pt idx="121">
                  <c:v>-0.2791259586090975</c:v>
                </c:pt>
                <c:pt idx="122">
                  <c:v>-0.28563924782014916</c:v>
                </c:pt>
                <c:pt idx="123">
                  <c:v>-0.27954617081626221</c:v>
                </c:pt>
                <c:pt idx="124">
                  <c:v>-0.26767517596386181</c:v>
                </c:pt>
                <c:pt idx="125">
                  <c:v>-0.26767517596386181</c:v>
                </c:pt>
                <c:pt idx="126">
                  <c:v>-0.27691984452148333</c:v>
                </c:pt>
                <c:pt idx="127">
                  <c:v>-0.27523899569282495</c:v>
                </c:pt>
                <c:pt idx="128">
                  <c:v>-0.27965122386805341</c:v>
                </c:pt>
                <c:pt idx="129">
                  <c:v>-0.28816052106313683</c:v>
                </c:pt>
                <c:pt idx="130">
                  <c:v>-0.3285008929509402</c:v>
                </c:pt>
                <c:pt idx="131">
                  <c:v>-0.32345834646496474</c:v>
                </c:pt>
                <c:pt idx="132">
                  <c:v>-0.33595965962811214</c:v>
                </c:pt>
                <c:pt idx="133">
                  <c:v>-0.33354343943691567</c:v>
                </c:pt>
                <c:pt idx="134">
                  <c:v>-0.33816577371572643</c:v>
                </c:pt>
                <c:pt idx="135">
                  <c:v>-0.35507931505410228</c:v>
                </c:pt>
                <c:pt idx="136">
                  <c:v>-0.34205273663199909</c:v>
                </c:pt>
                <c:pt idx="137">
                  <c:v>-0.35612984557201388</c:v>
                </c:pt>
                <c:pt idx="138">
                  <c:v>-0.35728542914171657</c:v>
                </c:pt>
                <c:pt idx="139">
                  <c:v>-0.34215778968379029</c:v>
                </c:pt>
                <c:pt idx="140">
                  <c:v>-0.32356339951675595</c:v>
                </c:pt>
                <c:pt idx="141">
                  <c:v>-0.33165248450467488</c:v>
                </c:pt>
                <c:pt idx="142">
                  <c:v>-0.34163252442483449</c:v>
                </c:pt>
                <c:pt idx="143">
                  <c:v>-0.34299821409811959</c:v>
                </c:pt>
                <c:pt idx="144">
                  <c:v>-0.34961655636096234</c:v>
                </c:pt>
                <c:pt idx="145">
                  <c:v>-0.36358861224918582</c:v>
                </c:pt>
                <c:pt idx="146">
                  <c:v>-0.36789578737262318</c:v>
                </c:pt>
                <c:pt idx="147">
                  <c:v>-0.37461918268725702</c:v>
                </c:pt>
                <c:pt idx="148">
                  <c:v>-0.37619497846412431</c:v>
                </c:pt>
                <c:pt idx="149">
                  <c:v>-0.37020695451202856</c:v>
                </c:pt>
                <c:pt idx="150">
                  <c:v>-0.37020695451202856</c:v>
                </c:pt>
                <c:pt idx="151">
                  <c:v>-0.39037714045593019</c:v>
                </c:pt>
                <c:pt idx="152">
                  <c:v>-0.39773085408131104</c:v>
                </c:pt>
                <c:pt idx="153">
                  <c:v>-0.39531463389011445</c:v>
                </c:pt>
                <c:pt idx="154">
                  <c:v>-0.38302342683054946</c:v>
                </c:pt>
                <c:pt idx="155">
                  <c:v>-0.36768568126904089</c:v>
                </c:pt>
                <c:pt idx="156">
                  <c:v>-0.36968168925307276</c:v>
                </c:pt>
                <c:pt idx="157">
                  <c:v>-0.35655005777917848</c:v>
                </c:pt>
                <c:pt idx="158">
                  <c:v>-0.34520432818573377</c:v>
                </c:pt>
                <c:pt idx="159">
                  <c:v>-0.34037188780334071</c:v>
                </c:pt>
                <c:pt idx="160">
                  <c:v>-0.3529782540182792</c:v>
                </c:pt>
                <c:pt idx="161">
                  <c:v>-0.34961655636096234</c:v>
                </c:pt>
                <c:pt idx="162">
                  <c:v>-0.33333333333333326</c:v>
                </c:pt>
                <c:pt idx="163">
                  <c:v>-0.31305809433764054</c:v>
                </c:pt>
                <c:pt idx="164">
                  <c:v>-0.30223763000315151</c:v>
                </c:pt>
                <c:pt idx="165">
                  <c:v>-0.29929614455299924</c:v>
                </c:pt>
                <c:pt idx="166">
                  <c:v>-0.31946633049690087</c:v>
                </c:pt>
                <c:pt idx="167">
                  <c:v>-0.31242777602689353</c:v>
                </c:pt>
                <c:pt idx="168">
                  <c:v>-0.2916272717722449</c:v>
                </c:pt>
                <c:pt idx="169">
                  <c:v>-0.2914171656686626</c:v>
                </c:pt>
                <c:pt idx="170">
                  <c:v>-0.29971635676016395</c:v>
                </c:pt>
                <c:pt idx="171">
                  <c:v>-0.30244773610673381</c:v>
                </c:pt>
                <c:pt idx="172">
                  <c:v>-0.32293308120600894</c:v>
                </c:pt>
                <c:pt idx="173">
                  <c:v>-0.29414854501523269</c:v>
                </c:pt>
                <c:pt idx="174">
                  <c:v>-0.29603949994747336</c:v>
                </c:pt>
                <c:pt idx="175">
                  <c:v>-0.29582939384389118</c:v>
                </c:pt>
                <c:pt idx="176">
                  <c:v>-0.29372833280806798</c:v>
                </c:pt>
                <c:pt idx="177">
                  <c:v>-0.30034667507091084</c:v>
                </c:pt>
                <c:pt idx="178">
                  <c:v>-0.30223763000315151</c:v>
                </c:pt>
                <c:pt idx="179">
                  <c:v>-0.29719508351717605</c:v>
                </c:pt>
                <c:pt idx="180">
                  <c:v>-0.32240781594705326</c:v>
                </c:pt>
                <c:pt idx="181">
                  <c:v>-0.32356339951675595</c:v>
                </c:pt>
                <c:pt idx="182">
                  <c:v>-0.3292362643134783</c:v>
                </c:pt>
                <c:pt idx="183">
                  <c:v>-0.31705011030570429</c:v>
                </c:pt>
                <c:pt idx="184">
                  <c:v>-0.31368841264838743</c:v>
                </c:pt>
                <c:pt idx="185">
                  <c:v>-0.33364849248870676</c:v>
                </c:pt>
                <c:pt idx="186">
                  <c:v>-0.3291312112616871</c:v>
                </c:pt>
                <c:pt idx="187">
                  <c:v>-0.3291312112616871</c:v>
                </c:pt>
                <c:pt idx="188">
                  <c:v>-0.34383863851244878</c:v>
                </c:pt>
                <c:pt idx="189">
                  <c:v>-0.34415379766782228</c:v>
                </c:pt>
                <c:pt idx="190">
                  <c:v>-0.34835591973946844</c:v>
                </c:pt>
                <c:pt idx="191">
                  <c:v>-0.33921630423363802</c:v>
                </c:pt>
                <c:pt idx="192">
                  <c:v>-0.34037188780334071</c:v>
                </c:pt>
                <c:pt idx="193">
                  <c:v>-0.33774556150856183</c:v>
                </c:pt>
                <c:pt idx="194">
                  <c:v>-0.33217774976363057</c:v>
                </c:pt>
                <c:pt idx="195">
                  <c:v>-0.31799558777182468</c:v>
                </c:pt>
                <c:pt idx="196">
                  <c:v>-0.3162096858913751</c:v>
                </c:pt>
                <c:pt idx="197">
                  <c:v>-0.3289211051581048</c:v>
                </c:pt>
                <c:pt idx="198">
                  <c:v>-0.3285008929509402</c:v>
                </c:pt>
                <c:pt idx="199">
                  <c:v>-0.3285008929509402</c:v>
                </c:pt>
                <c:pt idx="200">
                  <c:v>-0.34257800189095489</c:v>
                </c:pt>
                <c:pt idx="201">
                  <c:v>-0.33911125118184682</c:v>
                </c:pt>
                <c:pt idx="202">
                  <c:v>-0.34436390377140458</c:v>
                </c:pt>
                <c:pt idx="203">
                  <c:v>-0.34026683475154951</c:v>
                </c:pt>
                <c:pt idx="204">
                  <c:v>-0.34856602584305074</c:v>
                </c:pt>
                <c:pt idx="205">
                  <c:v>-0.35676016388276077</c:v>
                </c:pt>
                <c:pt idx="206">
                  <c:v>-0.3529782540182792</c:v>
                </c:pt>
                <c:pt idx="207">
                  <c:v>-0.36190776342052733</c:v>
                </c:pt>
                <c:pt idx="208">
                  <c:v>-0.36505935497426201</c:v>
                </c:pt>
                <c:pt idx="209">
                  <c:v>-0.36012186154007775</c:v>
                </c:pt>
                <c:pt idx="210">
                  <c:v>-0.36747557516545848</c:v>
                </c:pt>
                <c:pt idx="211">
                  <c:v>-0.36295829393843893</c:v>
                </c:pt>
                <c:pt idx="212">
                  <c:v>-0.36211786952410963</c:v>
                </c:pt>
                <c:pt idx="213">
                  <c:v>-0.35854606576321035</c:v>
                </c:pt>
                <c:pt idx="214">
                  <c:v>-0.36054207374724234</c:v>
                </c:pt>
                <c:pt idx="215">
                  <c:v>-0.36054207374724234</c:v>
                </c:pt>
                <c:pt idx="216">
                  <c:v>-0.38060720663935288</c:v>
                </c:pt>
                <c:pt idx="217">
                  <c:v>-0.40004202122071642</c:v>
                </c:pt>
                <c:pt idx="218">
                  <c:v>-0.40928668977833804</c:v>
                </c:pt>
                <c:pt idx="219">
                  <c:v>-0.4022481353083307</c:v>
                </c:pt>
                <c:pt idx="220">
                  <c:v>-0.40560983296564768</c:v>
                </c:pt>
                <c:pt idx="221">
                  <c:v>-0.38764576110936022</c:v>
                </c:pt>
                <c:pt idx="222">
                  <c:v>-0.39867633154743143</c:v>
                </c:pt>
                <c:pt idx="223">
                  <c:v>-0.39689042966698185</c:v>
                </c:pt>
                <c:pt idx="224">
                  <c:v>-0.39930664985817832</c:v>
                </c:pt>
                <c:pt idx="225">
                  <c:v>-0.39930664985817832</c:v>
                </c:pt>
                <c:pt idx="226">
                  <c:v>-0.39710053577056414</c:v>
                </c:pt>
                <c:pt idx="227">
                  <c:v>-0.39520958083832336</c:v>
                </c:pt>
                <c:pt idx="228">
                  <c:v>-0.39184788318100638</c:v>
                </c:pt>
                <c:pt idx="229">
                  <c:v>-0.39153272402563288</c:v>
                </c:pt>
                <c:pt idx="230">
                  <c:v>-0.38438911650383445</c:v>
                </c:pt>
                <c:pt idx="231">
                  <c:v>-0.38470427565920784</c:v>
                </c:pt>
                <c:pt idx="232">
                  <c:v>-0.38438911650383445</c:v>
                </c:pt>
                <c:pt idx="233">
                  <c:v>-0.38859123857548061</c:v>
                </c:pt>
                <c:pt idx="234">
                  <c:v>-0.38323353293413176</c:v>
                </c:pt>
                <c:pt idx="235">
                  <c:v>-0.38480932871099904</c:v>
                </c:pt>
                <c:pt idx="236">
                  <c:v>-0.38880134467906291</c:v>
                </c:pt>
                <c:pt idx="237">
                  <c:v>-0.38827607942010722</c:v>
                </c:pt>
                <c:pt idx="238">
                  <c:v>-0.39541968694190566</c:v>
                </c:pt>
                <c:pt idx="239">
                  <c:v>-0.36316840004202122</c:v>
                </c:pt>
                <c:pt idx="240">
                  <c:v>-0.36474419581888851</c:v>
                </c:pt>
                <c:pt idx="241">
                  <c:v>-0.37157264418531355</c:v>
                </c:pt>
                <c:pt idx="242">
                  <c:v>-0.37209790944426935</c:v>
                </c:pt>
                <c:pt idx="243">
                  <c:v>-0.38533459396995484</c:v>
                </c:pt>
                <c:pt idx="244">
                  <c:v>-0.38533459396995484</c:v>
                </c:pt>
                <c:pt idx="245">
                  <c:v>-0.38018699443218829</c:v>
                </c:pt>
                <c:pt idx="246">
                  <c:v>-0.38029204748397938</c:v>
                </c:pt>
                <c:pt idx="247">
                  <c:v>-0.37566971320516862</c:v>
                </c:pt>
                <c:pt idx="248">
                  <c:v>-0.33427881079945376</c:v>
                </c:pt>
                <c:pt idx="249">
                  <c:v>-0.34436390377140458</c:v>
                </c:pt>
                <c:pt idx="250">
                  <c:v>-0.34436390377140458</c:v>
                </c:pt>
                <c:pt idx="251">
                  <c:v>-0.34341842630528419</c:v>
                </c:pt>
                <c:pt idx="252">
                  <c:v>-0.33953146338901141</c:v>
                </c:pt>
                <c:pt idx="253">
                  <c:v>-0.29645971215463807</c:v>
                </c:pt>
                <c:pt idx="254">
                  <c:v>-0.29341317365269459</c:v>
                </c:pt>
                <c:pt idx="255">
                  <c:v>-0.30276289526210731</c:v>
                </c:pt>
                <c:pt idx="256">
                  <c:v>-0.30150225864061353</c:v>
                </c:pt>
                <c:pt idx="257">
                  <c:v>-0.31085198025002636</c:v>
                </c:pt>
                <c:pt idx="258">
                  <c:v>-0.31463389011450782</c:v>
                </c:pt>
                <c:pt idx="259">
                  <c:v>-0.30770038869629157</c:v>
                </c:pt>
                <c:pt idx="260">
                  <c:v>-0.31022166193927936</c:v>
                </c:pt>
                <c:pt idx="261">
                  <c:v>-0.30654480512658888</c:v>
                </c:pt>
                <c:pt idx="262">
                  <c:v>-0.29940119760479045</c:v>
                </c:pt>
                <c:pt idx="263">
                  <c:v>-0.31368841264838743</c:v>
                </c:pt>
                <c:pt idx="264">
                  <c:v>-0.31095703330181734</c:v>
                </c:pt>
                <c:pt idx="265">
                  <c:v>-0.31347830654480513</c:v>
                </c:pt>
                <c:pt idx="266">
                  <c:v>-0.32240781594705326</c:v>
                </c:pt>
                <c:pt idx="267">
                  <c:v>-0.32986658262422519</c:v>
                </c:pt>
                <c:pt idx="268">
                  <c:v>-0.3289211051581048</c:v>
                </c:pt>
                <c:pt idx="269">
                  <c:v>-0.32682004412228172</c:v>
                </c:pt>
                <c:pt idx="270">
                  <c:v>-0.32682004412228172</c:v>
                </c:pt>
                <c:pt idx="271">
                  <c:v>-0.32639983191511712</c:v>
                </c:pt>
                <c:pt idx="272">
                  <c:v>-0.33385859859228917</c:v>
                </c:pt>
                <c:pt idx="273">
                  <c:v>-0.33238785586721298</c:v>
                </c:pt>
                <c:pt idx="274">
                  <c:v>-0.33312322722975107</c:v>
                </c:pt>
                <c:pt idx="275">
                  <c:v>-0.33312322722975107</c:v>
                </c:pt>
                <c:pt idx="276">
                  <c:v>-0.33417375774766256</c:v>
                </c:pt>
                <c:pt idx="277">
                  <c:v>-0.33574955352452995</c:v>
                </c:pt>
                <c:pt idx="278">
                  <c:v>-0.33091711314213679</c:v>
                </c:pt>
                <c:pt idx="279">
                  <c:v>-0.33637987183527673</c:v>
                </c:pt>
                <c:pt idx="280">
                  <c:v>-0.32062191406660356</c:v>
                </c:pt>
                <c:pt idx="281">
                  <c:v>-0.32471898308645863</c:v>
                </c:pt>
                <c:pt idx="282">
                  <c:v>-0.31673495115033079</c:v>
                </c:pt>
                <c:pt idx="283">
                  <c:v>-0.3036033196764365</c:v>
                </c:pt>
                <c:pt idx="284">
                  <c:v>-0.29656476520642927</c:v>
                </c:pt>
                <c:pt idx="285">
                  <c:v>-0.29740518962075846</c:v>
                </c:pt>
                <c:pt idx="286">
                  <c:v>-0.29992646286374613</c:v>
                </c:pt>
                <c:pt idx="287">
                  <c:v>-0.29372833280806798</c:v>
                </c:pt>
                <c:pt idx="288">
                  <c:v>-0.29593444689568238</c:v>
                </c:pt>
                <c:pt idx="289">
                  <c:v>-0.2919424309276184</c:v>
                </c:pt>
                <c:pt idx="290">
                  <c:v>-0.2919424309276184</c:v>
                </c:pt>
                <c:pt idx="291">
                  <c:v>-0.2919424309276184</c:v>
                </c:pt>
                <c:pt idx="292">
                  <c:v>-0.28458871730223767</c:v>
                </c:pt>
                <c:pt idx="293">
                  <c:v>-0.28553419476835795</c:v>
                </c:pt>
                <c:pt idx="294">
                  <c:v>-0.28259270931820557</c:v>
                </c:pt>
                <c:pt idx="295">
                  <c:v>-0.2813320726967119</c:v>
                </c:pt>
                <c:pt idx="296">
                  <c:v>-0.29057674125433341</c:v>
                </c:pt>
                <c:pt idx="297">
                  <c:v>-0.29057674125433341</c:v>
                </c:pt>
                <c:pt idx="298">
                  <c:v>-0.27093182056938747</c:v>
                </c:pt>
                <c:pt idx="299">
                  <c:v>-0.27103687362117868</c:v>
                </c:pt>
                <c:pt idx="300">
                  <c:v>-0.27103687362117868</c:v>
                </c:pt>
                <c:pt idx="301">
                  <c:v>-0.29572434079209997</c:v>
                </c:pt>
                <c:pt idx="302">
                  <c:v>-0.29078684735791571</c:v>
                </c:pt>
                <c:pt idx="303">
                  <c:v>-0.29761529572434076</c:v>
                </c:pt>
                <c:pt idx="304">
                  <c:v>-0.30906607836957667</c:v>
                </c:pt>
                <c:pt idx="305">
                  <c:v>-0.3177854816682425</c:v>
                </c:pt>
                <c:pt idx="306">
                  <c:v>-0.31148229856077314</c:v>
                </c:pt>
                <c:pt idx="307">
                  <c:v>-0.30685996428196238</c:v>
                </c:pt>
                <c:pt idx="308">
                  <c:v>-0.3033932135728542</c:v>
                </c:pt>
                <c:pt idx="309">
                  <c:v>-0.32671499107049051</c:v>
                </c:pt>
                <c:pt idx="310">
                  <c:v>-0.33312322722975107</c:v>
                </c:pt>
                <c:pt idx="311">
                  <c:v>-0.33438386385124486</c:v>
                </c:pt>
                <c:pt idx="312">
                  <c:v>-0.34457400987498688</c:v>
                </c:pt>
                <c:pt idx="313">
                  <c:v>-0.33091711314213679</c:v>
                </c:pt>
                <c:pt idx="314">
                  <c:v>-0.32419371782750284</c:v>
                </c:pt>
                <c:pt idx="315">
                  <c:v>-0.33280806807437757</c:v>
                </c:pt>
                <c:pt idx="316">
                  <c:v>-0.32829078684735791</c:v>
                </c:pt>
                <c:pt idx="317">
                  <c:v>-0.32566446055257903</c:v>
                </c:pt>
                <c:pt idx="318">
                  <c:v>-0.329026158209896</c:v>
                </c:pt>
                <c:pt idx="319">
                  <c:v>-0.33343838638512446</c:v>
                </c:pt>
                <c:pt idx="320">
                  <c:v>-0.32639983191511712</c:v>
                </c:pt>
                <c:pt idx="321">
                  <c:v>-0.32766046853661102</c:v>
                </c:pt>
                <c:pt idx="322">
                  <c:v>-0.33312322722975107</c:v>
                </c:pt>
                <c:pt idx="323">
                  <c:v>-0.33753545540497942</c:v>
                </c:pt>
                <c:pt idx="324">
                  <c:v>-0.34425885071961337</c:v>
                </c:pt>
                <c:pt idx="325">
                  <c:v>-0.34898623805021534</c:v>
                </c:pt>
                <c:pt idx="326">
                  <c:v>-0.35791574745246346</c:v>
                </c:pt>
                <c:pt idx="327">
                  <c:v>-0.353503519277235</c:v>
                </c:pt>
                <c:pt idx="328">
                  <c:v>-0.36096228595440694</c:v>
                </c:pt>
                <c:pt idx="329">
                  <c:v>-0.35655005777917848</c:v>
                </c:pt>
                <c:pt idx="330">
                  <c:v>-0.35676016388276077</c:v>
                </c:pt>
                <c:pt idx="331">
                  <c:v>-0.35928143712574845</c:v>
                </c:pt>
                <c:pt idx="332">
                  <c:v>-0.35507931505410228</c:v>
                </c:pt>
                <c:pt idx="333">
                  <c:v>-0.35108729908603842</c:v>
                </c:pt>
                <c:pt idx="334">
                  <c:v>-0.35077213993066503</c:v>
                </c:pt>
                <c:pt idx="335">
                  <c:v>-0.35655005777917848</c:v>
                </c:pt>
                <c:pt idx="336">
                  <c:v>-0.35749553524529887</c:v>
                </c:pt>
                <c:pt idx="337">
                  <c:v>-0.35224288265574122</c:v>
                </c:pt>
                <c:pt idx="338">
                  <c:v>-0.34741044227334805</c:v>
                </c:pt>
                <c:pt idx="339">
                  <c:v>-0.341947683580208</c:v>
                </c:pt>
                <c:pt idx="340">
                  <c:v>-0.33448891690303595</c:v>
                </c:pt>
                <c:pt idx="341">
                  <c:v>-0.33364849248870676</c:v>
                </c:pt>
                <c:pt idx="342">
                  <c:v>-0.33574955352452995</c:v>
                </c:pt>
                <c:pt idx="343">
                  <c:v>-0.34352347935707528</c:v>
                </c:pt>
                <c:pt idx="344">
                  <c:v>-0.34657001785901875</c:v>
                </c:pt>
                <c:pt idx="345">
                  <c:v>-0.34383863851244878</c:v>
                </c:pt>
                <c:pt idx="346">
                  <c:v>-0.3412123122176699</c:v>
                </c:pt>
                <c:pt idx="347">
                  <c:v>-0.34257800189095489</c:v>
                </c:pt>
                <c:pt idx="348">
                  <c:v>-0.33753545540497942</c:v>
                </c:pt>
                <c:pt idx="349">
                  <c:v>-0.33459396995482715</c:v>
                </c:pt>
                <c:pt idx="350">
                  <c:v>-0.34005672864796721</c:v>
                </c:pt>
                <c:pt idx="351">
                  <c:v>-0.34509927513394256</c:v>
                </c:pt>
                <c:pt idx="352">
                  <c:v>-0.34699023006618346</c:v>
                </c:pt>
                <c:pt idx="353">
                  <c:v>-0.35276814791469691</c:v>
                </c:pt>
                <c:pt idx="354">
                  <c:v>-0.35276814791469691</c:v>
                </c:pt>
                <c:pt idx="355">
                  <c:v>-0.35276814791469691</c:v>
                </c:pt>
                <c:pt idx="356">
                  <c:v>-0.35486920895051999</c:v>
                </c:pt>
                <c:pt idx="357">
                  <c:v>-0.35676016388276077</c:v>
                </c:pt>
                <c:pt idx="358">
                  <c:v>-0.36054207374724234</c:v>
                </c:pt>
                <c:pt idx="359">
                  <c:v>-0.35476415589872878</c:v>
                </c:pt>
                <c:pt idx="360">
                  <c:v>-0.35476415589872878</c:v>
                </c:pt>
                <c:pt idx="361">
                  <c:v>-0.3538186784326085</c:v>
                </c:pt>
                <c:pt idx="362">
                  <c:v>-0.35896627797037495</c:v>
                </c:pt>
                <c:pt idx="363">
                  <c:v>-0.35896627797037495</c:v>
                </c:pt>
                <c:pt idx="364">
                  <c:v>-0.36705536295829388</c:v>
                </c:pt>
                <c:pt idx="365">
                  <c:v>-0.37115243197814896</c:v>
                </c:pt>
                <c:pt idx="366">
                  <c:v>-0.37682529677487131</c:v>
                </c:pt>
                <c:pt idx="367">
                  <c:v>-0.37388381132471893</c:v>
                </c:pt>
                <c:pt idx="368">
                  <c:v>-0.38176279020905557</c:v>
                </c:pt>
                <c:pt idx="369">
                  <c:v>-0.38029204748397938</c:v>
                </c:pt>
                <c:pt idx="370">
                  <c:v>-0.38512448786637254</c:v>
                </c:pt>
                <c:pt idx="371">
                  <c:v>-0.38218300241622016</c:v>
                </c:pt>
                <c:pt idx="372">
                  <c:v>-0.38323353293413176</c:v>
                </c:pt>
                <c:pt idx="373">
                  <c:v>-0.377980880344574</c:v>
                </c:pt>
                <c:pt idx="374">
                  <c:v>-0.38617501838428403</c:v>
                </c:pt>
                <c:pt idx="375">
                  <c:v>-0.39289841369891798</c:v>
                </c:pt>
                <c:pt idx="376">
                  <c:v>-0.40130265784221031</c:v>
                </c:pt>
                <c:pt idx="377">
                  <c:v>-0.40151276394579261</c:v>
                </c:pt>
                <c:pt idx="378">
                  <c:v>-0.39909654375459602</c:v>
                </c:pt>
                <c:pt idx="379">
                  <c:v>-0.38018699443218829</c:v>
                </c:pt>
                <c:pt idx="380">
                  <c:v>-0.37251812165143394</c:v>
                </c:pt>
                <c:pt idx="381">
                  <c:v>-0.37482928879083943</c:v>
                </c:pt>
                <c:pt idx="382">
                  <c:v>-0.36978674230486397</c:v>
                </c:pt>
                <c:pt idx="383">
                  <c:v>-0.36957663620128167</c:v>
                </c:pt>
                <c:pt idx="384">
                  <c:v>-0.36232797562769192</c:v>
                </c:pt>
                <c:pt idx="385">
                  <c:v>-0.36232797562769192</c:v>
                </c:pt>
                <c:pt idx="386">
                  <c:v>-0.3651644080260531</c:v>
                </c:pt>
                <c:pt idx="387">
                  <c:v>-0.36852610568337008</c:v>
                </c:pt>
                <c:pt idx="388">
                  <c:v>-0.37262317470322515</c:v>
                </c:pt>
                <c:pt idx="389">
                  <c:v>-0.36695030990650279</c:v>
                </c:pt>
                <c:pt idx="390">
                  <c:v>-0.36358861224918582</c:v>
                </c:pt>
                <c:pt idx="391">
                  <c:v>-0.3415274713730434</c:v>
                </c:pt>
                <c:pt idx="392">
                  <c:v>-0.33301817417795987</c:v>
                </c:pt>
                <c:pt idx="393">
                  <c:v>-0.34131736526946099</c:v>
                </c:pt>
                <c:pt idx="394">
                  <c:v>-0.34110725916587881</c:v>
                </c:pt>
                <c:pt idx="395">
                  <c:v>-0.3406870469587141</c:v>
                </c:pt>
                <c:pt idx="396">
                  <c:v>-0.34930139720558884</c:v>
                </c:pt>
                <c:pt idx="397">
                  <c:v>-0.34804076058409494</c:v>
                </c:pt>
                <c:pt idx="398">
                  <c:v>-0.35161256434499422</c:v>
                </c:pt>
                <c:pt idx="399">
                  <c:v>-0.3531883601218615</c:v>
                </c:pt>
                <c:pt idx="400">
                  <c:v>-0.36085723290261573</c:v>
                </c:pt>
                <c:pt idx="401">
                  <c:v>-0.36169765731694503</c:v>
                </c:pt>
                <c:pt idx="402">
                  <c:v>-0.36211786952410963</c:v>
                </c:pt>
                <c:pt idx="403">
                  <c:v>-0.36211786952410963</c:v>
                </c:pt>
                <c:pt idx="404">
                  <c:v>-0.36033196764366004</c:v>
                </c:pt>
                <c:pt idx="405">
                  <c:v>-0.35434394369156419</c:v>
                </c:pt>
                <c:pt idx="406">
                  <c:v>-0.35098224603424721</c:v>
                </c:pt>
                <c:pt idx="407">
                  <c:v>-0.35192772350036772</c:v>
                </c:pt>
                <c:pt idx="408">
                  <c:v>-0.3545540497951466</c:v>
                </c:pt>
                <c:pt idx="409">
                  <c:v>-0.35665511083096957</c:v>
                </c:pt>
                <c:pt idx="410">
                  <c:v>-0.35434394369156419</c:v>
                </c:pt>
                <c:pt idx="411">
                  <c:v>-0.34583464649648066</c:v>
                </c:pt>
                <c:pt idx="412">
                  <c:v>-0.34541443428931606</c:v>
                </c:pt>
                <c:pt idx="413">
                  <c:v>-0.33753545540497942</c:v>
                </c:pt>
                <c:pt idx="414">
                  <c:v>-0.30917113142136776</c:v>
                </c:pt>
                <c:pt idx="415">
                  <c:v>-0.29793045487971426</c:v>
                </c:pt>
                <c:pt idx="416">
                  <c:v>-0.30213257695136031</c:v>
                </c:pt>
                <c:pt idx="417">
                  <c:v>-0.30213257695136031</c:v>
                </c:pt>
                <c:pt idx="418">
                  <c:v>-0.31211261687152003</c:v>
                </c:pt>
                <c:pt idx="419">
                  <c:v>-0.31673495115033079</c:v>
                </c:pt>
                <c:pt idx="420">
                  <c:v>-0.31978148965227438</c:v>
                </c:pt>
                <c:pt idx="421">
                  <c:v>-0.31936127744510967</c:v>
                </c:pt>
                <c:pt idx="422">
                  <c:v>-0.32345834646496474</c:v>
                </c:pt>
                <c:pt idx="423">
                  <c:v>-0.32429877087929415</c:v>
                </c:pt>
                <c:pt idx="424">
                  <c:v>-0.3285008929509402</c:v>
                </c:pt>
                <c:pt idx="425">
                  <c:v>-0.3287109990545225</c:v>
                </c:pt>
                <c:pt idx="426">
                  <c:v>-0.33049690093497219</c:v>
                </c:pt>
                <c:pt idx="427">
                  <c:v>-0.33469902300661836</c:v>
                </c:pt>
                <c:pt idx="428">
                  <c:v>-0.33133732534930138</c:v>
                </c:pt>
                <c:pt idx="429">
                  <c:v>-0.33070700703855449</c:v>
                </c:pt>
                <c:pt idx="430">
                  <c:v>-0.33333333333333326</c:v>
                </c:pt>
                <c:pt idx="431">
                  <c:v>-0.33238785586721298</c:v>
                </c:pt>
                <c:pt idx="432">
                  <c:v>-0.32724025632944631</c:v>
                </c:pt>
                <c:pt idx="433">
                  <c:v>-0.32745036243302872</c:v>
                </c:pt>
                <c:pt idx="434">
                  <c:v>-0.32366845256854715</c:v>
                </c:pt>
                <c:pt idx="435">
                  <c:v>-0.32230276289526205</c:v>
                </c:pt>
                <c:pt idx="436">
                  <c:v>-0.3175753755646602</c:v>
                </c:pt>
                <c:pt idx="437">
                  <c:v>-0.32240781594705326</c:v>
                </c:pt>
                <c:pt idx="438">
                  <c:v>-0.32986658262422519</c:v>
                </c:pt>
                <c:pt idx="439">
                  <c:v>-0.33585460657632105</c:v>
                </c:pt>
                <c:pt idx="440">
                  <c:v>-0.3401617816997583</c:v>
                </c:pt>
                <c:pt idx="441">
                  <c:v>-0.33196764366004827</c:v>
                </c:pt>
                <c:pt idx="442">
                  <c:v>-0.33301817417795987</c:v>
                </c:pt>
                <c:pt idx="443">
                  <c:v>-0.32986658262422519</c:v>
                </c:pt>
                <c:pt idx="444">
                  <c:v>-0.33616976573169455</c:v>
                </c:pt>
                <c:pt idx="445">
                  <c:v>-0.34257800189095489</c:v>
                </c:pt>
                <c:pt idx="446">
                  <c:v>-0.33648492488706794</c:v>
                </c:pt>
                <c:pt idx="447">
                  <c:v>-0.32692509717407292</c:v>
                </c:pt>
                <c:pt idx="448">
                  <c:v>-0.32692509717407292</c:v>
                </c:pt>
                <c:pt idx="449">
                  <c:v>-0.3294463704170606</c:v>
                </c:pt>
                <c:pt idx="450">
                  <c:v>-0.32965647652064289</c:v>
                </c:pt>
                <c:pt idx="451">
                  <c:v>-0.33175753755646598</c:v>
                </c:pt>
                <c:pt idx="452">
                  <c:v>-0.33123227229751029</c:v>
                </c:pt>
                <c:pt idx="453">
                  <c:v>-0.33427881079945376</c:v>
                </c:pt>
                <c:pt idx="454">
                  <c:v>-0.34446895682319567</c:v>
                </c:pt>
                <c:pt idx="455">
                  <c:v>-0.34268305494274609</c:v>
                </c:pt>
                <c:pt idx="456">
                  <c:v>-0.3412123122176699</c:v>
                </c:pt>
                <c:pt idx="457">
                  <c:v>-0.3410022061140876</c:v>
                </c:pt>
                <c:pt idx="458">
                  <c:v>-0.33995167559617612</c:v>
                </c:pt>
                <c:pt idx="459">
                  <c:v>-0.33995167559617612</c:v>
                </c:pt>
                <c:pt idx="460">
                  <c:v>-0.33890114507826452</c:v>
                </c:pt>
                <c:pt idx="461">
                  <c:v>-0.33869103897468222</c:v>
                </c:pt>
                <c:pt idx="462">
                  <c:v>-0.33511923521378295</c:v>
                </c:pt>
                <c:pt idx="463">
                  <c:v>-0.33448891690303595</c:v>
                </c:pt>
                <c:pt idx="464">
                  <c:v>-0.33574955352452995</c:v>
                </c:pt>
                <c:pt idx="465">
                  <c:v>-0.33995167559617612</c:v>
                </c:pt>
                <c:pt idx="466">
                  <c:v>-0.34037188780334071</c:v>
                </c:pt>
                <c:pt idx="467">
                  <c:v>-0.34268305494274609</c:v>
                </c:pt>
                <c:pt idx="468">
                  <c:v>-0.34268305494274609</c:v>
                </c:pt>
                <c:pt idx="469">
                  <c:v>-0.33932135728542911</c:v>
                </c:pt>
                <c:pt idx="470">
                  <c:v>-0.34436390377140458</c:v>
                </c:pt>
                <c:pt idx="471">
                  <c:v>-0.34646496480722766</c:v>
                </c:pt>
                <c:pt idx="472">
                  <c:v>-0.3539237314843996</c:v>
                </c:pt>
                <c:pt idx="473">
                  <c:v>-0.3538186784326085</c:v>
                </c:pt>
                <c:pt idx="474">
                  <c:v>-0.35066708687887382</c:v>
                </c:pt>
                <c:pt idx="475">
                  <c:v>-0.35161256434499422</c:v>
                </c:pt>
                <c:pt idx="476">
                  <c:v>-0.34804076058409494</c:v>
                </c:pt>
                <c:pt idx="477">
                  <c:v>-0.34488916903036038</c:v>
                </c:pt>
                <c:pt idx="478">
                  <c:v>-0.34236789578737259</c:v>
                </c:pt>
                <c:pt idx="479">
                  <c:v>-0.34278810799453718</c:v>
                </c:pt>
                <c:pt idx="480">
                  <c:v>-0.34541443428931606</c:v>
                </c:pt>
                <c:pt idx="481">
                  <c:v>-0.3422628427355815</c:v>
                </c:pt>
                <c:pt idx="482">
                  <c:v>-0.34699023006618346</c:v>
                </c:pt>
                <c:pt idx="483">
                  <c:v>-0.35077213993066503</c:v>
                </c:pt>
                <c:pt idx="484">
                  <c:v>-0.35150751129320312</c:v>
                </c:pt>
                <c:pt idx="485">
                  <c:v>-0.35581468641664038</c:v>
                </c:pt>
                <c:pt idx="486">
                  <c:v>-0.34961655636096234</c:v>
                </c:pt>
                <c:pt idx="487">
                  <c:v>-0.34520432818573377</c:v>
                </c:pt>
                <c:pt idx="488">
                  <c:v>-0.34762054837693035</c:v>
                </c:pt>
                <c:pt idx="489">
                  <c:v>-0.35224288265574122</c:v>
                </c:pt>
                <c:pt idx="490">
                  <c:v>-0.35938649017753965</c:v>
                </c:pt>
                <c:pt idx="491">
                  <c:v>-0.35697026998634307</c:v>
                </c:pt>
                <c:pt idx="492">
                  <c:v>-0.36358861224918582</c:v>
                </c:pt>
                <c:pt idx="493">
                  <c:v>-0.35686521693455198</c:v>
                </c:pt>
                <c:pt idx="494">
                  <c:v>-0.35224288265574122</c:v>
                </c:pt>
                <c:pt idx="495">
                  <c:v>-0.33995167559617612</c:v>
                </c:pt>
                <c:pt idx="496">
                  <c:v>-0.3408971530622964</c:v>
                </c:pt>
                <c:pt idx="497">
                  <c:v>-0.33953146338901141</c:v>
                </c:pt>
                <c:pt idx="498">
                  <c:v>-0.34236789578737259</c:v>
                </c:pt>
                <c:pt idx="499">
                  <c:v>-0.34499422208215147</c:v>
                </c:pt>
                <c:pt idx="500">
                  <c:v>-0.34499422208215147</c:v>
                </c:pt>
                <c:pt idx="501">
                  <c:v>-0.34257800189095489</c:v>
                </c:pt>
                <c:pt idx="502">
                  <c:v>-0.33764050845677074</c:v>
                </c:pt>
                <c:pt idx="503">
                  <c:v>-0.33953146338901141</c:v>
                </c:pt>
                <c:pt idx="504">
                  <c:v>-0.34299821409811959</c:v>
                </c:pt>
                <c:pt idx="505">
                  <c:v>-0.33690513709423264</c:v>
                </c:pt>
                <c:pt idx="506">
                  <c:v>-0.33186259060825718</c:v>
                </c:pt>
                <c:pt idx="507">
                  <c:v>-0.32965647652064289</c:v>
                </c:pt>
                <c:pt idx="508">
                  <c:v>-0.33932135728542911</c:v>
                </c:pt>
                <c:pt idx="509">
                  <c:v>-0.33711524319781483</c:v>
                </c:pt>
                <c:pt idx="510">
                  <c:v>-0.34005672864796721</c:v>
                </c:pt>
                <c:pt idx="511">
                  <c:v>-0.34079210001050531</c:v>
                </c:pt>
                <c:pt idx="512">
                  <c:v>-0.34341842630528419</c:v>
                </c:pt>
                <c:pt idx="513">
                  <c:v>-0.34341842630528419</c:v>
                </c:pt>
                <c:pt idx="514">
                  <c:v>-0.34520432818573377</c:v>
                </c:pt>
                <c:pt idx="515">
                  <c:v>-0.34940645025737993</c:v>
                </c:pt>
                <c:pt idx="516">
                  <c:v>-0.34835591973946844</c:v>
                </c:pt>
                <c:pt idx="517">
                  <c:v>-0.34783065448051265</c:v>
                </c:pt>
                <c:pt idx="518">
                  <c:v>-0.35266309486290581</c:v>
                </c:pt>
                <c:pt idx="519">
                  <c:v>-0.35150751129320312</c:v>
                </c:pt>
                <c:pt idx="520">
                  <c:v>-0.34614980565185416</c:v>
                </c:pt>
                <c:pt idx="521">
                  <c:v>-0.34404874461603108</c:v>
                </c:pt>
                <c:pt idx="522">
                  <c:v>-0.34257800189095489</c:v>
                </c:pt>
                <c:pt idx="523">
                  <c:v>-0.33921630423363802</c:v>
                </c:pt>
                <c:pt idx="524">
                  <c:v>-0.33648492488706794</c:v>
                </c:pt>
                <c:pt idx="525">
                  <c:v>-0.33680008404244144</c:v>
                </c:pt>
                <c:pt idx="526">
                  <c:v>-0.3412123122176699</c:v>
                </c:pt>
                <c:pt idx="527">
                  <c:v>-0.33816577371572643</c:v>
                </c:pt>
                <c:pt idx="528">
                  <c:v>-0.33585460657632105</c:v>
                </c:pt>
                <c:pt idx="529">
                  <c:v>-0.33585460657632105</c:v>
                </c:pt>
                <c:pt idx="530">
                  <c:v>-0.33585460657632105</c:v>
                </c:pt>
                <c:pt idx="531">
                  <c:v>-0.33658997793885914</c:v>
                </c:pt>
                <c:pt idx="532">
                  <c:v>-0.33732534930139724</c:v>
                </c:pt>
                <c:pt idx="533">
                  <c:v>-0.33238785586721298</c:v>
                </c:pt>
                <c:pt idx="534">
                  <c:v>-0.33406870469587135</c:v>
                </c:pt>
                <c:pt idx="535">
                  <c:v>-0.33406870469587135</c:v>
                </c:pt>
                <c:pt idx="536">
                  <c:v>-0.33701019014602374</c:v>
                </c:pt>
                <c:pt idx="537">
                  <c:v>-0.33974156949259371</c:v>
                </c:pt>
                <c:pt idx="538">
                  <c:v>-0.3412123122176699</c:v>
                </c:pt>
                <c:pt idx="539">
                  <c:v>-0.33123227229751029</c:v>
                </c:pt>
                <c:pt idx="540">
                  <c:v>-0.33018174177959869</c:v>
                </c:pt>
                <c:pt idx="541">
                  <c:v>-0.32934131736526939</c:v>
                </c:pt>
                <c:pt idx="542">
                  <c:v>-0.3294463704170606</c:v>
                </c:pt>
                <c:pt idx="543">
                  <c:v>-0.32545435444899684</c:v>
                </c:pt>
                <c:pt idx="544">
                  <c:v>-0.32776552158840211</c:v>
                </c:pt>
                <c:pt idx="545">
                  <c:v>-0.32629477886332603</c:v>
                </c:pt>
                <c:pt idx="546">
                  <c:v>-0.32997163567601639</c:v>
                </c:pt>
                <c:pt idx="547">
                  <c:v>-0.33616976573169455</c:v>
                </c:pt>
                <c:pt idx="548">
                  <c:v>-0.34383863851244878</c:v>
                </c:pt>
                <c:pt idx="549">
                  <c:v>-0.33543439436915645</c:v>
                </c:pt>
                <c:pt idx="550">
                  <c:v>-0.3291312112616871</c:v>
                </c:pt>
                <c:pt idx="551">
                  <c:v>-0.33018174177959869</c:v>
                </c:pt>
                <c:pt idx="552">
                  <c:v>-0.33175753755646598</c:v>
                </c:pt>
                <c:pt idx="553">
                  <c:v>-0.33175753755646598</c:v>
                </c:pt>
                <c:pt idx="554">
                  <c:v>-0.33438386385124486</c:v>
                </c:pt>
                <c:pt idx="555">
                  <c:v>-0.33627481878348564</c:v>
                </c:pt>
                <c:pt idx="556">
                  <c:v>-0.33827082676751752</c:v>
                </c:pt>
                <c:pt idx="557">
                  <c:v>-0.34877613194663304</c:v>
                </c:pt>
                <c:pt idx="558">
                  <c:v>-0.34877613194663304</c:v>
                </c:pt>
                <c:pt idx="559">
                  <c:v>-0.34961655636096234</c:v>
                </c:pt>
                <c:pt idx="560">
                  <c:v>-0.35150751129320312</c:v>
                </c:pt>
                <c:pt idx="561">
                  <c:v>-0.34972160941275343</c:v>
                </c:pt>
                <c:pt idx="562">
                  <c:v>-0.34867107889484183</c:v>
                </c:pt>
                <c:pt idx="563">
                  <c:v>-0.34604475260006307</c:v>
                </c:pt>
                <c:pt idx="564">
                  <c:v>-0.34331337325349298</c:v>
                </c:pt>
                <c:pt idx="565">
                  <c:v>-0.34331337325349298</c:v>
                </c:pt>
                <c:pt idx="566">
                  <c:v>-0.33942641033722021</c:v>
                </c:pt>
                <c:pt idx="567">
                  <c:v>-0.34436390377140458</c:v>
                </c:pt>
                <c:pt idx="568">
                  <c:v>-0.33827082676751752</c:v>
                </c:pt>
                <c:pt idx="569">
                  <c:v>-0.33680008404244144</c:v>
                </c:pt>
                <c:pt idx="570">
                  <c:v>-0.33848093287109993</c:v>
                </c:pt>
                <c:pt idx="571">
                  <c:v>-0.33364849248870676</c:v>
                </c:pt>
                <c:pt idx="572">
                  <c:v>-0.33123227229751029</c:v>
                </c:pt>
                <c:pt idx="573">
                  <c:v>-0.31032671499107045</c:v>
                </c:pt>
                <c:pt idx="574">
                  <c:v>-0.31200756381972905</c:v>
                </c:pt>
                <c:pt idx="575">
                  <c:v>-0.32072696711839477</c:v>
                </c:pt>
                <c:pt idx="576">
                  <c:v>-0.32072696711839477</c:v>
                </c:pt>
                <c:pt idx="577">
                  <c:v>-0.32471898308645863</c:v>
                </c:pt>
                <c:pt idx="578">
                  <c:v>-0.32146233848093286</c:v>
                </c:pt>
                <c:pt idx="579">
                  <c:v>-0.32608467275974362</c:v>
                </c:pt>
                <c:pt idx="580">
                  <c:v>-0.33133732534930138</c:v>
                </c:pt>
                <c:pt idx="581">
                  <c:v>-0.32860594600273141</c:v>
                </c:pt>
                <c:pt idx="582">
                  <c:v>-0.33490912911020065</c:v>
                </c:pt>
                <c:pt idx="583">
                  <c:v>-0.33438386385124486</c:v>
                </c:pt>
                <c:pt idx="584">
                  <c:v>-0.33049690093497219</c:v>
                </c:pt>
                <c:pt idx="585">
                  <c:v>-0.33417375774766256</c:v>
                </c:pt>
                <c:pt idx="586">
                  <c:v>-0.33795566761214413</c:v>
                </c:pt>
                <c:pt idx="587">
                  <c:v>-0.33501418216199186</c:v>
                </c:pt>
                <c:pt idx="588">
                  <c:v>-0.33669503099065023</c:v>
                </c:pt>
                <c:pt idx="589">
                  <c:v>-0.33637987183527673</c:v>
                </c:pt>
                <c:pt idx="590">
                  <c:v>-0.33532934131736525</c:v>
                </c:pt>
                <c:pt idx="591">
                  <c:v>-0.33532934131736525</c:v>
                </c:pt>
                <c:pt idx="592">
                  <c:v>-0.33186259060825718</c:v>
                </c:pt>
                <c:pt idx="593">
                  <c:v>-0.32513919529362334</c:v>
                </c:pt>
                <c:pt idx="594">
                  <c:v>-0.32072696711839477</c:v>
                </c:pt>
                <c:pt idx="595">
                  <c:v>-0.32282802815421796</c:v>
                </c:pt>
                <c:pt idx="596">
                  <c:v>-0.32156739153272407</c:v>
                </c:pt>
                <c:pt idx="597">
                  <c:v>-0.32440382393108513</c:v>
                </c:pt>
                <c:pt idx="598">
                  <c:v>-0.32440382393108513</c:v>
                </c:pt>
                <c:pt idx="599">
                  <c:v>-0.32051686101481236</c:v>
                </c:pt>
                <c:pt idx="600">
                  <c:v>-0.31957138354869208</c:v>
                </c:pt>
                <c:pt idx="601">
                  <c:v>-0.31673495115033079</c:v>
                </c:pt>
                <c:pt idx="602">
                  <c:v>-0.31820569387540698</c:v>
                </c:pt>
                <c:pt idx="603">
                  <c:v>-0.32041180796302138</c:v>
                </c:pt>
                <c:pt idx="604">
                  <c:v>-0.32219770984347096</c:v>
                </c:pt>
                <c:pt idx="605">
                  <c:v>-0.32282802815421796</c:v>
                </c:pt>
                <c:pt idx="606">
                  <c:v>-0.32125223237735057</c:v>
                </c:pt>
                <c:pt idx="607">
                  <c:v>-0.32125223237735057</c:v>
                </c:pt>
                <c:pt idx="608">
                  <c:v>-0.32125223237735057</c:v>
                </c:pt>
                <c:pt idx="609">
                  <c:v>-0.3175753755646602</c:v>
                </c:pt>
                <c:pt idx="610">
                  <c:v>-0.32713520327765522</c:v>
                </c:pt>
                <c:pt idx="611">
                  <c:v>-0.33743040235318833</c:v>
                </c:pt>
                <c:pt idx="612">
                  <c:v>-0.3297615295724341</c:v>
                </c:pt>
                <c:pt idx="613">
                  <c:v>-0.32881605210631371</c:v>
                </c:pt>
                <c:pt idx="614">
                  <c:v>-0.3404769408551318</c:v>
                </c:pt>
                <c:pt idx="615">
                  <c:v>-0.3414224183212522</c:v>
                </c:pt>
                <c:pt idx="616">
                  <c:v>-0.33627481878348564</c:v>
                </c:pt>
                <c:pt idx="617">
                  <c:v>-0.32597961970795253</c:v>
                </c:pt>
                <c:pt idx="618">
                  <c:v>-0.32934131736526939</c:v>
                </c:pt>
                <c:pt idx="619">
                  <c:v>-0.32471898308645863</c:v>
                </c:pt>
                <c:pt idx="620">
                  <c:v>-0.31705011030570429</c:v>
                </c:pt>
                <c:pt idx="621">
                  <c:v>-0.31547431452883712</c:v>
                </c:pt>
                <c:pt idx="622">
                  <c:v>-0.31547431452883712</c:v>
                </c:pt>
                <c:pt idx="623">
                  <c:v>-0.31957138354869208</c:v>
                </c:pt>
                <c:pt idx="624">
                  <c:v>-0.31116713940539975</c:v>
                </c:pt>
                <c:pt idx="625">
                  <c:v>-0.30328816052106322</c:v>
                </c:pt>
                <c:pt idx="626">
                  <c:v>-0.29835066708687874</c:v>
                </c:pt>
                <c:pt idx="627">
                  <c:v>-0.29383338585985919</c:v>
                </c:pt>
                <c:pt idx="628">
                  <c:v>-0.29603949994747336</c:v>
                </c:pt>
                <c:pt idx="629">
                  <c:v>-0.29709003046538507</c:v>
                </c:pt>
                <c:pt idx="630">
                  <c:v>-0.28553419476835795</c:v>
                </c:pt>
                <c:pt idx="631">
                  <c:v>-0.28427355814686417</c:v>
                </c:pt>
                <c:pt idx="632">
                  <c:v>-0.27628952621073644</c:v>
                </c:pt>
                <c:pt idx="633">
                  <c:v>-0.26315789473684204</c:v>
                </c:pt>
                <c:pt idx="634">
                  <c:v>-0.2444584515180166</c:v>
                </c:pt>
                <c:pt idx="635">
                  <c:v>-0.23920579892845883</c:v>
                </c:pt>
                <c:pt idx="636">
                  <c:v>-0.23500367685681278</c:v>
                </c:pt>
                <c:pt idx="637">
                  <c:v>-0.23500367685681278</c:v>
                </c:pt>
                <c:pt idx="638">
                  <c:v>-0.22828028154217883</c:v>
                </c:pt>
                <c:pt idx="639">
                  <c:v>-0.22439331862590606</c:v>
                </c:pt>
                <c:pt idx="640">
                  <c:v>-0.21987603739888639</c:v>
                </c:pt>
                <c:pt idx="641">
                  <c:v>-0.22733480407605844</c:v>
                </c:pt>
                <c:pt idx="642">
                  <c:v>-0.22365794726336796</c:v>
                </c:pt>
                <c:pt idx="643">
                  <c:v>-0.22628427355814673</c:v>
                </c:pt>
                <c:pt idx="644">
                  <c:v>-0.23647441958188875</c:v>
                </c:pt>
                <c:pt idx="645">
                  <c:v>-0.23647441958188875</c:v>
                </c:pt>
                <c:pt idx="646">
                  <c:v>-0.22176699233112718</c:v>
                </c:pt>
                <c:pt idx="647">
                  <c:v>-0.21766992331127222</c:v>
                </c:pt>
                <c:pt idx="648">
                  <c:v>-0.21546380922365782</c:v>
                </c:pt>
                <c:pt idx="649">
                  <c:v>-0.21073642189305597</c:v>
                </c:pt>
                <c:pt idx="650">
                  <c:v>-0.20348776131946633</c:v>
                </c:pt>
                <c:pt idx="651">
                  <c:v>-0.18457821199705848</c:v>
                </c:pt>
                <c:pt idx="652">
                  <c:v>-0.16776972371047383</c:v>
                </c:pt>
                <c:pt idx="653">
                  <c:v>-0.15295724340792105</c:v>
                </c:pt>
                <c:pt idx="654">
                  <c:v>-0.16692929929614453</c:v>
                </c:pt>
                <c:pt idx="655">
                  <c:v>-0.16692929929614453</c:v>
                </c:pt>
                <c:pt idx="656">
                  <c:v>-0.16787477676226503</c:v>
                </c:pt>
                <c:pt idx="657">
                  <c:v>-0.18111146128795041</c:v>
                </c:pt>
                <c:pt idx="658">
                  <c:v>-0.18562874251497008</c:v>
                </c:pt>
                <c:pt idx="659">
                  <c:v>-0.18373778758272918</c:v>
                </c:pt>
                <c:pt idx="660">
                  <c:v>-0.19802500262632627</c:v>
                </c:pt>
                <c:pt idx="661">
                  <c:v>-0.20401302657842213</c:v>
                </c:pt>
                <c:pt idx="662">
                  <c:v>-0.19781489652274398</c:v>
                </c:pt>
                <c:pt idx="663">
                  <c:v>-0.20663935287320101</c:v>
                </c:pt>
                <c:pt idx="664">
                  <c:v>-0.19739468431557927</c:v>
                </c:pt>
                <c:pt idx="665">
                  <c:v>-0.19655425990125008</c:v>
                </c:pt>
                <c:pt idx="666">
                  <c:v>-0.18804496270616655</c:v>
                </c:pt>
                <c:pt idx="667">
                  <c:v>-0.18090135518436812</c:v>
                </c:pt>
                <c:pt idx="668">
                  <c:v>-0.18489337115243187</c:v>
                </c:pt>
                <c:pt idx="669">
                  <c:v>-0.18426305284168498</c:v>
                </c:pt>
                <c:pt idx="670">
                  <c:v>-0.18426305284168498</c:v>
                </c:pt>
                <c:pt idx="671">
                  <c:v>-0.17354764155898728</c:v>
                </c:pt>
                <c:pt idx="672">
                  <c:v>-0.16829498896942952</c:v>
                </c:pt>
                <c:pt idx="673">
                  <c:v>-0.16157159365479568</c:v>
                </c:pt>
                <c:pt idx="674">
                  <c:v>-0.16955562559092341</c:v>
                </c:pt>
                <c:pt idx="675">
                  <c:v>-0.15947053261897248</c:v>
                </c:pt>
                <c:pt idx="676">
                  <c:v>-0.16524845046748615</c:v>
                </c:pt>
                <c:pt idx="677">
                  <c:v>-0.16766467065868262</c:v>
                </c:pt>
                <c:pt idx="678">
                  <c:v>-0.18247715096123551</c:v>
                </c:pt>
                <c:pt idx="679">
                  <c:v>-0.18983086458661613</c:v>
                </c:pt>
                <c:pt idx="680">
                  <c:v>-0.1939279336064712</c:v>
                </c:pt>
                <c:pt idx="681">
                  <c:v>-0.19256224393318622</c:v>
                </c:pt>
                <c:pt idx="682">
                  <c:v>-0.19728963126378818</c:v>
                </c:pt>
                <c:pt idx="683">
                  <c:v>-0.21367790734320835</c:v>
                </c:pt>
                <c:pt idx="684">
                  <c:v>-0.21651433974156953</c:v>
                </c:pt>
                <c:pt idx="685">
                  <c:v>-0.2077949364429037</c:v>
                </c:pt>
                <c:pt idx="686">
                  <c:v>-0.20684945897678331</c:v>
                </c:pt>
                <c:pt idx="687">
                  <c:v>-0.21619918058619603</c:v>
                </c:pt>
                <c:pt idx="688">
                  <c:v>-0.21462338480932863</c:v>
                </c:pt>
                <c:pt idx="689">
                  <c:v>-0.25086668767727693</c:v>
                </c:pt>
                <c:pt idx="690">
                  <c:v>-0.31915117134152748</c:v>
                </c:pt>
                <c:pt idx="691">
                  <c:v>-0.29257274923836529</c:v>
                </c:pt>
                <c:pt idx="692">
                  <c:v>-0.27492383653745145</c:v>
                </c:pt>
                <c:pt idx="693">
                  <c:v>-0.27681479146969212</c:v>
                </c:pt>
                <c:pt idx="694">
                  <c:v>-0.25254753650593542</c:v>
                </c:pt>
                <c:pt idx="695">
                  <c:v>-0.24666456560563088</c:v>
                </c:pt>
                <c:pt idx="696">
                  <c:v>-0.25212732429877094</c:v>
                </c:pt>
                <c:pt idx="697">
                  <c:v>-0.25065658157369475</c:v>
                </c:pt>
                <c:pt idx="698">
                  <c:v>-0.26263262947788635</c:v>
                </c:pt>
                <c:pt idx="699">
                  <c:v>-0.25391322617922052</c:v>
                </c:pt>
                <c:pt idx="700">
                  <c:v>-0.26263262947788635</c:v>
                </c:pt>
                <c:pt idx="701">
                  <c:v>-0.27397835907133106</c:v>
                </c:pt>
                <c:pt idx="702">
                  <c:v>-0.27250761634625487</c:v>
                </c:pt>
                <c:pt idx="703">
                  <c:v>-0.27177224498371688</c:v>
                </c:pt>
                <c:pt idx="704">
                  <c:v>-0.29498896942956188</c:v>
                </c:pt>
                <c:pt idx="705">
                  <c:v>-0.30160731169240462</c:v>
                </c:pt>
                <c:pt idx="706">
                  <c:v>-0.31316314738943174</c:v>
                </c:pt>
                <c:pt idx="707">
                  <c:v>-0.33207269671183948</c:v>
                </c:pt>
                <c:pt idx="708">
                  <c:v>-0.34751549532513915</c:v>
                </c:pt>
                <c:pt idx="709">
                  <c:v>-0.33333333333333326</c:v>
                </c:pt>
                <c:pt idx="710">
                  <c:v>-0.32408866477571163</c:v>
                </c:pt>
                <c:pt idx="711">
                  <c:v>-0.32997163567601639</c:v>
                </c:pt>
                <c:pt idx="712">
                  <c:v>-0.34825086668767724</c:v>
                </c:pt>
                <c:pt idx="713">
                  <c:v>-0.36957663620128167</c:v>
                </c:pt>
                <c:pt idx="714">
                  <c:v>-0.37272822775501624</c:v>
                </c:pt>
                <c:pt idx="715">
                  <c:v>-0.377980880344574</c:v>
                </c:pt>
                <c:pt idx="716">
                  <c:v>-0.38029204748397938</c:v>
                </c:pt>
                <c:pt idx="717">
                  <c:v>-0.39352873200966487</c:v>
                </c:pt>
                <c:pt idx="718">
                  <c:v>-0.37640508456770672</c:v>
                </c:pt>
                <c:pt idx="719">
                  <c:v>-0.3651644080260531</c:v>
                </c:pt>
                <c:pt idx="720">
                  <c:v>-0.3651644080260531</c:v>
                </c:pt>
                <c:pt idx="721">
                  <c:v>-0.37251812165143394</c:v>
                </c:pt>
                <c:pt idx="722">
                  <c:v>-0.36852610568337008</c:v>
                </c:pt>
                <c:pt idx="723">
                  <c:v>-0.35161256434499422</c:v>
                </c:pt>
                <c:pt idx="724">
                  <c:v>-0.34909129110200654</c:v>
                </c:pt>
                <c:pt idx="725">
                  <c:v>-0.35581468641664038</c:v>
                </c:pt>
                <c:pt idx="726">
                  <c:v>-0.3665300976993382</c:v>
                </c:pt>
                <c:pt idx="727">
                  <c:v>-0.37955667612144128</c:v>
                </c:pt>
                <c:pt idx="728">
                  <c:v>-0.38060720663935288</c:v>
                </c:pt>
                <c:pt idx="729">
                  <c:v>-0.38249816157159366</c:v>
                </c:pt>
                <c:pt idx="730">
                  <c:v>-0.38197289631263787</c:v>
                </c:pt>
                <c:pt idx="731">
                  <c:v>-0.37031200756381977</c:v>
                </c:pt>
                <c:pt idx="732">
                  <c:v>-0.3782960394999475</c:v>
                </c:pt>
                <c:pt idx="733">
                  <c:v>-0.38617501838428403</c:v>
                </c:pt>
                <c:pt idx="734">
                  <c:v>-0.3910074587666772</c:v>
                </c:pt>
                <c:pt idx="735">
                  <c:v>-0.38050215358756168</c:v>
                </c:pt>
                <c:pt idx="736">
                  <c:v>-0.38375879819308756</c:v>
                </c:pt>
                <c:pt idx="737">
                  <c:v>-0.38176279020905557</c:v>
                </c:pt>
                <c:pt idx="738">
                  <c:v>-0.37619497846412431</c:v>
                </c:pt>
                <c:pt idx="739">
                  <c:v>-0.38375879819308756</c:v>
                </c:pt>
                <c:pt idx="740">
                  <c:v>-0.38880134467906291</c:v>
                </c:pt>
                <c:pt idx="741">
                  <c:v>-0.39006198130055669</c:v>
                </c:pt>
                <c:pt idx="742">
                  <c:v>-0.38943166298980991</c:v>
                </c:pt>
                <c:pt idx="743">
                  <c:v>-0.38564975312532834</c:v>
                </c:pt>
                <c:pt idx="744">
                  <c:v>-0.377350562033827</c:v>
                </c:pt>
                <c:pt idx="745">
                  <c:v>-0.37272822775501624</c:v>
                </c:pt>
                <c:pt idx="746">
                  <c:v>-0.37073221977098436</c:v>
                </c:pt>
                <c:pt idx="747">
                  <c:v>-0.36936653009769926</c:v>
                </c:pt>
                <c:pt idx="748">
                  <c:v>-0.37482928879083943</c:v>
                </c:pt>
                <c:pt idx="749">
                  <c:v>-0.37882130475890319</c:v>
                </c:pt>
                <c:pt idx="750">
                  <c:v>-0.38092236579472627</c:v>
                </c:pt>
                <c:pt idx="751">
                  <c:v>-0.3769303498266624</c:v>
                </c:pt>
                <c:pt idx="752">
                  <c:v>-0.38417901040025215</c:v>
                </c:pt>
                <c:pt idx="753">
                  <c:v>-0.38417901040025215</c:v>
                </c:pt>
                <c:pt idx="754">
                  <c:v>-0.38754070805756913</c:v>
                </c:pt>
                <c:pt idx="755">
                  <c:v>-0.3905872465595126</c:v>
                </c:pt>
                <c:pt idx="756">
                  <c:v>-0.38985187519697451</c:v>
                </c:pt>
                <c:pt idx="757">
                  <c:v>-0.35213782960395001</c:v>
                </c:pt>
                <c:pt idx="758">
                  <c:v>-0.34404874461603108</c:v>
                </c:pt>
                <c:pt idx="759">
                  <c:v>-0.35760058829709007</c:v>
                </c:pt>
                <c:pt idx="760">
                  <c:v>-0.36905137094232587</c:v>
                </c:pt>
                <c:pt idx="761">
                  <c:v>-0.37241306859964274</c:v>
                </c:pt>
                <c:pt idx="762">
                  <c:v>-0.36915642399411708</c:v>
                </c:pt>
                <c:pt idx="763">
                  <c:v>-0.3660048324403824</c:v>
                </c:pt>
                <c:pt idx="764">
                  <c:v>-0.37409391742830134</c:v>
                </c:pt>
                <c:pt idx="765">
                  <c:v>-0.3782960394999475</c:v>
                </c:pt>
                <c:pt idx="766">
                  <c:v>-0.3774556150856182</c:v>
                </c:pt>
                <c:pt idx="767">
                  <c:v>-0.37714045593024481</c:v>
                </c:pt>
                <c:pt idx="768">
                  <c:v>-0.3790314108624856</c:v>
                </c:pt>
                <c:pt idx="769">
                  <c:v>-0.3785061456035298</c:v>
                </c:pt>
                <c:pt idx="770">
                  <c:v>-0.36631999159575579</c:v>
                </c:pt>
                <c:pt idx="771">
                  <c:v>-0.37409391742830134</c:v>
                </c:pt>
                <c:pt idx="772">
                  <c:v>-0.37325349301397204</c:v>
                </c:pt>
                <c:pt idx="773">
                  <c:v>-0.38302342683054946</c:v>
                </c:pt>
                <c:pt idx="774">
                  <c:v>-0.38564975312532834</c:v>
                </c:pt>
                <c:pt idx="775">
                  <c:v>-0.37871625170711209</c:v>
                </c:pt>
                <c:pt idx="776">
                  <c:v>-0.36978674230486397</c:v>
                </c:pt>
                <c:pt idx="777">
                  <c:v>-0.3531883601218615</c:v>
                </c:pt>
                <c:pt idx="778">
                  <c:v>-0.35444899674335539</c:v>
                </c:pt>
                <c:pt idx="779">
                  <c:v>-0.35024687467170923</c:v>
                </c:pt>
                <c:pt idx="780">
                  <c:v>-0.35161256434499422</c:v>
                </c:pt>
                <c:pt idx="781">
                  <c:v>-0.34772560142872144</c:v>
                </c:pt>
                <c:pt idx="782">
                  <c:v>-0.34446895682319567</c:v>
                </c:pt>
                <c:pt idx="783">
                  <c:v>-0.34509927513394256</c:v>
                </c:pt>
                <c:pt idx="784">
                  <c:v>-0.33081206009034558</c:v>
                </c:pt>
                <c:pt idx="785">
                  <c:v>-0.32419371782750284</c:v>
                </c:pt>
                <c:pt idx="786">
                  <c:v>-0.32639983191511712</c:v>
                </c:pt>
                <c:pt idx="787">
                  <c:v>-0.32934131736526939</c:v>
                </c:pt>
                <c:pt idx="788">
                  <c:v>-0.33049690093497219</c:v>
                </c:pt>
                <c:pt idx="789">
                  <c:v>-0.33291312112616867</c:v>
                </c:pt>
                <c:pt idx="790">
                  <c:v>-0.32745036243302872</c:v>
                </c:pt>
                <c:pt idx="791">
                  <c:v>-0.32660993801869953</c:v>
                </c:pt>
                <c:pt idx="792">
                  <c:v>-0.32660993801869953</c:v>
                </c:pt>
                <c:pt idx="793">
                  <c:v>-0.318100640823616</c:v>
                </c:pt>
                <c:pt idx="794">
                  <c:v>-0.31526420842525471</c:v>
                </c:pt>
                <c:pt idx="795">
                  <c:v>-0.31631473894316631</c:v>
                </c:pt>
                <c:pt idx="796">
                  <c:v>-0.31736526946107779</c:v>
                </c:pt>
                <c:pt idx="797">
                  <c:v>-0.31736526946107779</c:v>
                </c:pt>
                <c:pt idx="798">
                  <c:v>-0.3155793675806281</c:v>
                </c:pt>
                <c:pt idx="799">
                  <c:v>-0.31915117134152748</c:v>
                </c:pt>
                <c:pt idx="800">
                  <c:v>-0.32020170185943908</c:v>
                </c:pt>
                <c:pt idx="801">
                  <c:v>-0.30854081311062087</c:v>
                </c:pt>
                <c:pt idx="802">
                  <c:v>-0.32293308120600894</c:v>
                </c:pt>
                <c:pt idx="803">
                  <c:v>-0.33963651644080262</c:v>
                </c:pt>
                <c:pt idx="804">
                  <c:v>-0.34257800189095489</c:v>
                </c:pt>
                <c:pt idx="805">
                  <c:v>-0.3532934131736527</c:v>
                </c:pt>
                <c:pt idx="806">
                  <c:v>-0.35875617186679276</c:v>
                </c:pt>
                <c:pt idx="807">
                  <c:v>-0.37997688832860588</c:v>
                </c:pt>
                <c:pt idx="808">
                  <c:v>-0.36905137094232587</c:v>
                </c:pt>
                <c:pt idx="809">
                  <c:v>-0.36190776342052733</c:v>
                </c:pt>
                <c:pt idx="810">
                  <c:v>-0.35612984557201388</c:v>
                </c:pt>
                <c:pt idx="811">
                  <c:v>-0.34625485870364536</c:v>
                </c:pt>
                <c:pt idx="812">
                  <c:v>-0.353503519277235</c:v>
                </c:pt>
                <c:pt idx="813">
                  <c:v>-0.36264313478306542</c:v>
                </c:pt>
                <c:pt idx="814">
                  <c:v>-0.36863115873516128</c:v>
                </c:pt>
                <c:pt idx="815">
                  <c:v>-0.38312847988234056</c:v>
                </c:pt>
                <c:pt idx="816">
                  <c:v>-0.3901670343523479</c:v>
                </c:pt>
                <c:pt idx="817">
                  <c:v>-0.3901670343523479</c:v>
                </c:pt>
                <c:pt idx="818">
                  <c:v>-0.3901670343523479</c:v>
                </c:pt>
                <c:pt idx="819">
                  <c:v>-0.388906397730854</c:v>
                </c:pt>
                <c:pt idx="820">
                  <c:v>-0.39279336064712678</c:v>
                </c:pt>
                <c:pt idx="821">
                  <c:v>-0.39142767097384179</c:v>
                </c:pt>
                <c:pt idx="822">
                  <c:v>-0.38228805546801137</c:v>
                </c:pt>
                <c:pt idx="823">
                  <c:v>-0.37955667612144128</c:v>
                </c:pt>
                <c:pt idx="824">
                  <c:v>-0.36264313478306542</c:v>
                </c:pt>
                <c:pt idx="825">
                  <c:v>-0.36264313478306542</c:v>
                </c:pt>
                <c:pt idx="826">
                  <c:v>-0.36264313478306542</c:v>
                </c:pt>
                <c:pt idx="827">
                  <c:v>-0.37913646391427669</c:v>
                </c:pt>
                <c:pt idx="828">
                  <c:v>-0.38092236579472627</c:v>
                </c:pt>
                <c:pt idx="829">
                  <c:v>-0.38480932871099904</c:v>
                </c:pt>
                <c:pt idx="830">
                  <c:v>-0.38859123857548061</c:v>
                </c:pt>
                <c:pt idx="831">
                  <c:v>-0.39153272402563288</c:v>
                </c:pt>
                <c:pt idx="832">
                  <c:v>-0.40088244563504571</c:v>
                </c:pt>
                <c:pt idx="833">
                  <c:v>-0.40056728647967221</c:v>
                </c:pt>
                <c:pt idx="834">
                  <c:v>-0.40981195503729384</c:v>
                </c:pt>
                <c:pt idx="835">
                  <c:v>-0.42588507196134051</c:v>
                </c:pt>
                <c:pt idx="836">
                  <c:v>-0.44384914381762797</c:v>
                </c:pt>
                <c:pt idx="837">
                  <c:v>-0.44353398466225447</c:v>
                </c:pt>
                <c:pt idx="838">
                  <c:v>-0.43597016493329133</c:v>
                </c:pt>
                <c:pt idx="839">
                  <c:v>-0.46906187624750495</c:v>
                </c:pt>
                <c:pt idx="840">
                  <c:v>-0.47021745981720764</c:v>
                </c:pt>
                <c:pt idx="841">
                  <c:v>-0.49332913121126176</c:v>
                </c:pt>
                <c:pt idx="842">
                  <c:v>-0.48954722134678008</c:v>
                </c:pt>
                <c:pt idx="843">
                  <c:v>-0.48187834856602585</c:v>
                </c:pt>
                <c:pt idx="844">
                  <c:v>-0.49248870679693246</c:v>
                </c:pt>
                <c:pt idx="845">
                  <c:v>-0.50677592184052944</c:v>
                </c:pt>
                <c:pt idx="846">
                  <c:v>-0.51171341527471381</c:v>
                </c:pt>
                <c:pt idx="847">
                  <c:v>-0.51696606786427146</c:v>
                </c:pt>
                <c:pt idx="848">
                  <c:v>-0.49910704905977521</c:v>
                </c:pt>
                <c:pt idx="849">
                  <c:v>-0.48891690303603319</c:v>
                </c:pt>
                <c:pt idx="850">
                  <c:v>-0.47956718142662047</c:v>
                </c:pt>
                <c:pt idx="851">
                  <c:v>-0.47956718142662047</c:v>
                </c:pt>
                <c:pt idx="852">
                  <c:v>-0.47736106733900618</c:v>
                </c:pt>
                <c:pt idx="853">
                  <c:v>-0.4744195818888538</c:v>
                </c:pt>
                <c:pt idx="854">
                  <c:v>-0.4768358020800505</c:v>
                </c:pt>
                <c:pt idx="855">
                  <c:v>-0.48229856077319044</c:v>
                </c:pt>
                <c:pt idx="856">
                  <c:v>-0.47063767202437234</c:v>
                </c:pt>
                <c:pt idx="857">
                  <c:v>-0.46906187624750495</c:v>
                </c:pt>
                <c:pt idx="858">
                  <c:v>-0.46485975417585879</c:v>
                </c:pt>
                <c:pt idx="859">
                  <c:v>-0.47189830864586613</c:v>
                </c:pt>
                <c:pt idx="860">
                  <c:v>-0.47189830864586613</c:v>
                </c:pt>
                <c:pt idx="861">
                  <c:v>-0.47189830864586613</c:v>
                </c:pt>
                <c:pt idx="862">
                  <c:v>-0.48187834856602585</c:v>
                </c:pt>
                <c:pt idx="863">
                  <c:v>-0.49028259270931818</c:v>
                </c:pt>
                <c:pt idx="864">
                  <c:v>-0.50971740729068182</c:v>
                </c:pt>
                <c:pt idx="865">
                  <c:v>-0.57621598907448257</c:v>
                </c:pt>
                <c:pt idx="866">
                  <c:v>-0.5734846097279126</c:v>
                </c:pt>
                <c:pt idx="867">
                  <c:v>-0.58903246139300347</c:v>
                </c:pt>
                <c:pt idx="868">
                  <c:v>-0.54165353503519276</c:v>
                </c:pt>
                <c:pt idx="869">
                  <c:v>-0.54196869419056615</c:v>
                </c:pt>
                <c:pt idx="870">
                  <c:v>-0.52263893266099382</c:v>
                </c:pt>
                <c:pt idx="871">
                  <c:v>-0.52957243407920995</c:v>
                </c:pt>
                <c:pt idx="872">
                  <c:v>-0.53913226179220508</c:v>
                </c:pt>
                <c:pt idx="873">
                  <c:v>-0.53387960920264743</c:v>
                </c:pt>
                <c:pt idx="874">
                  <c:v>-0.52747137304338687</c:v>
                </c:pt>
                <c:pt idx="875">
                  <c:v>-0.53188360121861544</c:v>
                </c:pt>
                <c:pt idx="876">
                  <c:v>-0.53755646601533769</c:v>
                </c:pt>
                <c:pt idx="877">
                  <c:v>-0.52095808383233533</c:v>
                </c:pt>
                <c:pt idx="878">
                  <c:v>-0.52022271246979723</c:v>
                </c:pt>
                <c:pt idx="879">
                  <c:v>-0.49858178380081941</c:v>
                </c:pt>
                <c:pt idx="880">
                  <c:v>-0.49511503309171123</c:v>
                </c:pt>
                <c:pt idx="881">
                  <c:v>-0.49627061666141392</c:v>
                </c:pt>
                <c:pt idx="882">
                  <c:v>-0.49690093497216092</c:v>
                </c:pt>
                <c:pt idx="883">
                  <c:v>-0.49690093497216092</c:v>
                </c:pt>
                <c:pt idx="884">
                  <c:v>-0.48051265889274075</c:v>
                </c:pt>
                <c:pt idx="885">
                  <c:v>-0.48944216829498899</c:v>
                </c:pt>
                <c:pt idx="886">
                  <c:v>-0.49332913121126176</c:v>
                </c:pt>
                <c:pt idx="887">
                  <c:v>-0.4877613194663305</c:v>
                </c:pt>
                <c:pt idx="888">
                  <c:v>-0.476520642924677</c:v>
                </c:pt>
                <c:pt idx="889">
                  <c:v>-0.47694085513184159</c:v>
                </c:pt>
                <c:pt idx="890">
                  <c:v>-0.47694085513184159</c:v>
                </c:pt>
                <c:pt idx="891">
                  <c:v>-0.44552999264628634</c:v>
                </c:pt>
                <c:pt idx="892">
                  <c:v>-0.43250341422418315</c:v>
                </c:pt>
                <c:pt idx="893">
                  <c:v>-0.43754596071015861</c:v>
                </c:pt>
                <c:pt idx="894">
                  <c:v>-0.44910179640718562</c:v>
                </c:pt>
                <c:pt idx="895">
                  <c:v>-0.47242357390482193</c:v>
                </c:pt>
                <c:pt idx="896">
                  <c:v>-0.47210841474944842</c:v>
                </c:pt>
                <c:pt idx="897">
                  <c:v>-0.4875512133627482</c:v>
                </c:pt>
                <c:pt idx="898">
                  <c:v>-0.487446160310957</c:v>
                </c:pt>
                <c:pt idx="899">
                  <c:v>-0.48587036453408972</c:v>
                </c:pt>
                <c:pt idx="900">
                  <c:v>-0.49238365374514126</c:v>
                </c:pt>
                <c:pt idx="901">
                  <c:v>-0.49217354764155896</c:v>
                </c:pt>
                <c:pt idx="902">
                  <c:v>-0.4879714255699128</c:v>
                </c:pt>
                <c:pt idx="903">
                  <c:v>-0.4744195818888538</c:v>
                </c:pt>
                <c:pt idx="904">
                  <c:v>-0.48082781804811425</c:v>
                </c:pt>
                <c:pt idx="905">
                  <c:v>-0.48082781804811425</c:v>
                </c:pt>
                <c:pt idx="906">
                  <c:v>-0.4882865847252863</c:v>
                </c:pt>
                <c:pt idx="907">
                  <c:v>-0.48576531148229851</c:v>
                </c:pt>
                <c:pt idx="908">
                  <c:v>-0.47431452883706271</c:v>
                </c:pt>
                <c:pt idx="909">
                  <c:v>-0.47673074902825918</c:v>
                </c:pt>
                <c:pt idx="910">
                  <c:v>-0.46822145183317576</c:v>
                </c:pt>
                <c:pt idx="911">
                  <c:v>-0.46717092131526416</c:v>
                </c:pt>
                <c:pt idx="912">
                  <c:v>-0.4634940645025738</c:v>
                </c:pt>
                <c:pt idx="913">
                  <c:v>-0.4621283748292887</c:v>
                </c:pt>
                <c:pt idx="914">
                  <c:v>-0.47462968799243621</c:v>
                </c:pt>
                <c:pt idx="915">
                  <c:v>-0.48093287109990546</c:v>
                </c:pt>
                <c:pt idx="916">
                  <c:v>-0.48124803025527885</c:v>
                </c:pt>
                <c:pt idx="917">
                  <c:v>-0.48103792415169666</c:v>
                </c:pt>
                <c:pt idx="918">
                  <c:v>-0.48513499317155162</c:v>
                </c:pt>
                <c:pt idx="919">
                  <c:v>-0.48713100115558361</c:v>
                </c:pt>
                <c:pt idx="920">
                  <c:v>-0.48933711524319778</c:v>
                </c:pt>
                <c:pt idx="921">
                  <c:v>-0.48145813635886126</c:v>
                </c:pt>
                <c:pt idx="922">
                  <c:v>-0.47210841474944842</c:v>
                </c:pt>
                <c:pt idx="923">
                  <c:v>-0.46391427670973839</c:v>
                </c:pt>
                <c:pt idx="924">
                  <c:v>-0.46391427670973839</c:v>
                </c:pt>
                <c:pt idx="925">
                  <c:v>-0.4631789053472003</c:v>
                </c:pt>
                <c:pt idx="926">
                  <c:v>-0.45656056308435766</c:v>
                </c:pt>
                <c:pt idx="927">
                  <c:v>-0.45340897153062298</c:v>
                </c:pt>
                <c:pt idx="928">
                  <c:v>-0.45162306965017329</c:v>
                </c:pt>
                <c:pt idx="929">
                  <c:v>-0.43765101376194981</c:v>
                </c:pt>
                <c:pt idx="930">
                  <c:v>-0.44973211471793251</c:v>
                </c:pt>
                <c:pt idx="931">
                  <c:v>-0.45876667717197184</c:v>
                </c:pt>
                <c:pt idx="932">
                  <c:v>-0.45603529782540175</c:v>
                </c:pt>
                <c:pt idx="933">
                  <c:v>-0.45761109360226915</c:v>
                </c:pt>
                <c:pt idx="934">
                  <c:v>-0.44752600063031822</c:v>
                </c:pt>
                <c:pt idx="935">
                  <c:v>-0.44815631894106522</c:v>
                </c:pt>
                <c:pt idx="936">
                  <c:v>-0.4509927513394264</c:v>
                </c:pt>
                <c:pt idx="937">
                  <c:v>-0.45424939594495217</c:v>
                </c:pt>
                <c:pt idx="938">
                  <c:v>-0.45498476730749027</c:v>
                </c:pt>
                <c:pt idx="939">
                  <c:v>-0.451412963546591</c:v>
                </c:pt>
                <c:pt idx="940">
                  <c:v>-0.45393423678957878</c:v>
                </c:pt>
                <c:pt idx="941">
                  <c:v>-0.45834646496480724</c:v>
                </c:pt>
                <c:pt idx="942">
                  <c:v>-0.4501523269250971</c:v>
                </c:pt>
                <c:pt idx="943">
                  <c:v>-0.45036243302867951</c:v>
                </c:pt>
                <c:pt idx="944">
                  <c:v>-0.4507826452358441</c:v>
                </c:pt>
                <c:pt idx="945">
                  <c:v>-0.45561508561823716</c:v>
                </c:pt>
                <c:pt idx="946">
                  <c:v>-0.45771614665406035</c:v>
                </c:pt>
                <c:pt idx="947">
                  <c:v>-0.45950204853450993</c:v>
                </c:pt>
                <c:pt idx="948">
                  <c:v>-0.44773610673390063</c:v>
                </c:pt>
                <c:pt idx="949">
                  <c:v>-0.44195818888538718</c:v>
                </c:pt>
                <c:pt idx="950">
                  <c:v>-0.44889169030360332</c:v>
                </c:pt>
                <c:pt idx="951">
                  <c:v>-0.44468956823195716</c:v>
                </c:pt>
                <c:pt idx="952">
                  <c:v>-0.45193822880554679</c:v>
                </c:pt>
                <c:pt idx="953">
                  <c:v>-0.4508876982876352</c:v>
                </c:pt>
                <c:pt idx="954">
                  <c:v>-0.45319886542704069</c:v>
                </c:pt>
                <c:pt idx="955">
                  <c:v>-0.44973211471793251</c:v>
                </c:pt>
                <c:pt idx="956">
                  <c:v>-0.44321882550688096</c:v>
                </c:pt>
                <c:pt idx="957">
                  <c:v>-0.42788107994537239</c:v>
                </c:pt>
                <c:pt idx="958">
                  <c:v>-0.43281857337955665</c:v>
                </c:pt>
                <c:pt idx="959">
                  <c:v>-0.43691564239941172</c:v>
                </c:pt>
                <c:pt idx="960">
                  <c:v>-0.43355394474209474</c:v>
                </c:pt>
                <c:pt idx="961">
                  <c:v>-0.43618027103687362</c:v>
                </c:pt>
                <c:pt idx="962">
                  <c:v>-0.43828133207269671</c:v>
                </c:pt>
                <c:pt idx="963">
                  <c:v>-0.44132787057464018</c:v>
                </c:pt>
                <c:pt idx="964">
                  <c:v>-0.42945687572223967</c:v>
                </c:pt>
                <c:pt idx="965">
                  <c:v>-0.41128269776237003</c:v>
                </c:pt>
                <c:pt idx="966">
                  <c:v>-0.4142241832125223</c:v>
                </c:pt>
                <c:pt idx="967">
                  <c:v>-0.40718562874251496</c:v>
                </c:pt>
                <c:pt idx="968">
                  <c:v>-0.4146443954196869</c:v>
                </c:pt>
                <c:pt idx="969">
                  <c:v>-0.41653535035192768</c:v>
                </c:pt>
                <c:pt idx="970">
                  <c:v>-0.41653535035192768</c:v>
                </c:pt>
                <c:pt idx="971">
                  <c:v>-0.42136779073432085</c:v>
                </c:pt>
                <c:pt idx="972">
                  <c:v>-0.41159785691774342</c:v>
                </c:pt>
                <c:pt idx="973">
                  <c:v>-0.41317365269461082</c:v>
                </c:pt>
                <c:pt idx="974">
                  <c:v>-0.41317365269461082</c:v>
                </c:pt>
                <c:pt idx="975">
                  <c:v>-0.41285849353923731</c:v>
                </c:pt>
                <c:pt idx="976">
                  <c:v>-0.41579997898938958</c:v>
                </c:pt>
                <c:pt idx="977">
                  <c:v>-0.41579997898938958</c:v>
                </c:pt>
                <c:pt idx="978">
                  <c:v>-0.40645025737997686</c:v>
                </c:pt>
                <c:pt idx="979">
                  <c:v>-0.40287845361907759</c:v>
                </c:pt>
                <c:pt idx="980">
                  <c:v>-0.40287845361907759</c:v>
                </c:pt>
                <c:pt idx="981">
                  <c:v>-0.40287845361907759</c:v>
                </c:pt>
                <c:pt idx="982">
                  <c:v>-0.39867633154743143</c:v>
                </c:pt>
                <c:pt idx="983">
                  <c:v>-0.39478936863115877</c:v>
                </c:pt>
                <c:pt idx="984">
                  <c:v>-0.38943166298980991</c:v>
                </c:pt>
                <c:pt idx="985">
                  <c:v>-0.38869629162727182</c:v>
                </c:pt>
                <c:pt idx="986">
                  <c:v>-0.38628007143607523</c:v>
                </c:pt>
                <c:pt idx="987">
                  <c:v>-0.38092236579472627</c:v>
                </c:pt>
                <c:pt idx="988">
                  <c:v>-0.38459922260741675</c:v>
                </c:pt>
                <c:pt idx="989">
                  <c:v>-0.39216304233637989</c:v>
                </c:pt>
                <c:pt idx="990">
                  <c:v>-0.39384389116503826</c:v>
                </c:pt>
                <c:pt idx="991">
                  <c:v>-0.39373883811324717</c:v>
                </c:pt>
                <c:pt idx="992">
                  <c:v>-0.3774556150856182</c:v>
                </c:pt>
                <c:pt idx="993">
                  <c:v>-0.34205273663199909</c:v>
                </c:pt>
                <c:pt idx="994">
                  <c:v>-0.33900619813005561</c:v>
                </c:pt>
                <c:pt idx="995">
                  <c:v>-0.33869103897468222</c:v>
                </c:pt>
                <c:pt idx="996">
                  <c:v>-0.33291312112616867</c:v>
                </c:pt>
                <c:pt idx="997">
                  <c:v>-0.34110725916587881</c:v>
                </c:pt>
                <c:pt idx="998">
                  <c:v>-0.32230276289526205</c:v>
                </c:pt>
                <c:pt idx="999">
                  <c:v>-0.33070700703855449</c:v>
                </c:pt>
                <c:pt idx="1000">
                  <c:v>-0.33637987183527673</c:v>
                </c:pt>
                <c:pt idx="1001">
                  <c:v>-0.35161256434499422</c:v>
                </c:pt>
                <c:pt idx="1002">
                  <c:v>-0.34657001785901875</c:v>
                </c:pt>
                <c:pt idx="1003">
                  <c:v>-0.33396365164408026</c:v>
                </c:pt>
                <c:pt idx="1004">
                  <c:v>-0.35938649017753965</c:v>
                </c:pt>
                <c:pt idx="1005">
                  <c:v>-0.35938649017753965</c:v>
                </c:pt>
                <c:pt idx="1006">
                  <c:v>-0.34415379766782228</c:v>
                </c:pt>
                <c:pt idx="1007">
                  <c:v>-0.34667507091080996</c:v>
                </c:pt>
                <c:pt idx="1008">
                  <c:v>-0.34730538922155685</c:v>
                </c:pt>
                <c:pt idx="1009">
                  <c:v>-0.33848093287109993</c:v>
                </c:pt>
                <c:pt idx="1010">
                  <c:v>-0.33081206009034558</c:v>
                </c:pt>
                <c:pt idx="1011">
                  <c:v>-0.33102216619392788</c:v>
                </c:pt>
                <c:pt idx="1012">
                  <c:v>-0.33343838638512446</c:v>
                </c:pt>
                <c:pt idx="1013">
                  <c:v>-0.33732534930139724</c:v>
                </c:pt>
                <c:pt idx="1014">
                  <c:v>-0.33511923521378295</c:v>
                </c:pt>
                <c:pt idx="1015">
                  <c:v>-0.34667507091080996</c:v>
                </c:pt>
                <c:pt idx="1016">
                  <c:v>-0.35676016388276077</c:v>
                </c:pt>
                <c:pt idx="1017">
                  <c:v>-0.35633995167559618</c:v>
                </c:pt>
                <c:pt idx="1018">
                  <c:v>-0.35402878453619069</c:v>
                </c:pt>
                <c:pt idx="1019">
                  <c:v>-0.3542388906397731</c:v>
                </c:pt>
                <c:pt idx="1020">
                  <c:v>-0.34562454039289836</c:v>
                </c:pt>
                <c:pt idx="1021">
                  <c:v>-0.34425885071961337</c:v>
                </c:pt>
                <c:pt idx="1022">
                  <c:v>-0.34867107889484183</c:v>
                </c:pt>
                <c:pt idx="1023">
                  <c:v>-0.35234793570753231</c:v>
                </c:pt>
                <c:pt idx="1024">
                  <c:v>-0.36505935497426201</c:v>
                </c:pt>
                <c:pt idx="1025">
                  <c:v>-0.36747557516545848</c:v>
                </c:pt>
                <c:pt idx="1026">
                  <c:v>-0.3777707742409917</c:v>
                </c:pt>
                <c:pt idx="1027">
                  <c:v>-0.3782960394999475</c:v>
                </c:pt>
                <c:pt idx="1028">
                  <c:v>-0.3651644080260531</c:v>
                </c:pt>
                <c:pt idx="1029">
                  <c:v>-0.38081731274293518</c:v>
                </c:pt>
                <c:pt idx="1030">
                  <c:v>-0.37651013761949781</c:v>
                </c:pt>
                <c:pt idx="1031">
                  <c:v>-0.37010190146023736</c:v>
                </c:pt>
                <c:pt idx="1032">
                  <c:v>-0.37997688832860588</c:v>
                </c:pt>
                <c:pt idx="1033">
                  <c:v>-0.38123752495009977</c:v>
                </c:pt>
                <c:pt idx="1034">
                  <c:v>-0.39457926252757636</c:v>
                </c:pt>
                <c:pt idx="1035">
                  <c:v>-0.40802605315684415</c:v>
                </c:pt>
                <c:pt idx="1036">
                  <c:v>-0.40960184893371143</c:v>
                </c:pt>
                <c:pt idx="1037">
                  <c:v>-0.40025212732429871</c:v>
                </c:pt>
                <c:pt idx="1038">
                  <c:v>-0.39815106628847563</c:v>
                </c:pt>
                <c:pt idx="1039">
                  <c:v>-0.40403403718878039</c:v>
                </c:pt>
                <c:pt idx="1040">
                  <c:v>-0.40497951465490067</c:v>
                </c:pt>
                <c:pt idx="1041">
                  <c:v>-0.40676541653535037</c:v>
                </c:pt>
                <c:pt idx="1042">
                  <c:v>-0.39972686206534302</c:v>
                </c:pt>
                <c:pt idx="1043">
                  <c:v>-0.40109255173862801</c:v>
                </c:pt>
                <c:pt idx="1044">
                  <c:v>-0.39972686206534302</c:v>
                </c:pt>
                <c:pt idx="1045">
                  <c:v>-0.40413909024057149</c:v>
                </c:pt>
                <c:pt idx="1046">
                  <c:v>-0.4144342893161046</c:v>
                </c:pt>
                <c:pt idx="1047">
                  <c:v>-0.4019329761529572</c:v>
                </c:pt>
                <c:pt idx="1048">
                  <c:v>-0.40529467381027418</c:v>
                </c:pt>
                <c:pt idx="1049">
                  <c:v>-0.40413909024057149</c:v>
                </c:pt>
                <c:pt idx="1050">
                  <c:v>-0.40382393108519798</c:v>
                </c:pt>
                <c:pt idx="1051">
                  <c:v>-0.4020380292047484</c:v>
                </c:pt>
                <c:pt idx="1052">
                  <c:v>-0.40392898413698919</c:v>
                </c:pt>
                <c:pt idx="1053">
                  <c:v>-0.40392898413698919</c:v>
                </c:pt>
                <c:pt idx="1054">
                  <c:v>-0.40876142451938224</c:v>
                </c:pt>
                <c:pt idx="1055">
                  <c:v>-0.41096753860699653</c:v>
                </c:pt>
                <c:pt idx="1056">
                  <c:v>-0.40991700808908493</c:v>
                </c:pt>
                <c:pt idx="1057">
                  <c:v>-0.41601008509297188</c:v>
                </c:pt>
                <c:pt idx="1058">
                  <c:v>-0.41601008509297188</c:v>
                </c:pt>
                <c:pt idx="1059">
                  <c:v>-0.41737577476625698</c:v>
                </c:pt>
                <c:pt idx="1060">
                  <c:v>-0.41065237945162303</c:v>
                </c:pt>
                <c:pt idx="1061">
                  <c:v>-0.40319361277445109</c:v>
                </c:pt>
                <c:pt idx="1062">
                  <c:v>-0.40088244563504571</c:v>
                </c:pt>
                <c:pt idx="1063">
                  <c:v>-0.39626011135623485</c:v>
                </c:pt>
                <c:pt idx="1064">
                  <c:v>-0.38207794936442907</c:v>
                </c:pt>
                <c:pt idx="1065">
                  <c:v>-0.38470427565920784</c:v>
                </c:pt>
                <c:pt idx="1066">
                  <c:v>-0.38953671604160101</c:v>
                </c:pt>
                <c:pt idx="1067">
                  <c:v>-0.38302342683054946</c:v>
                </c:pt>
                <c:pt idx="1068">
                  <c:v>-0.37125748502994005</c:v>
                </c:pt>
                <c:pt idx="1069">
                  <c:v>-0.3656896732850089</c:v>
                </c:pt>
                <c:pt idx="1070">
                  <c:v>-0.37524950099800403</c:v>
                </c:pt>
                <c:pt idx="1071">
                  <c:v>-0.37524950099800403</c:v>
                </c:pt>
                <c:pt idx="1072">
                  <c:v>-0.37283328080680744</c:v>
                </c:pt>
                <c:pt idx="1073">
                  <c:v>-0.37136253808173125</c:v>
                </c:pt>
                <c:pt idx="1074">
                  <c:v>-0.38176279020905557</c:v>
                </c:pt>
                <c:pt idx="1075">
                  <c:v>-0.39279336064712678</c:v>
                </c:pt>
                <c:pt idx="1076">
                  <c:v>-0.38953671604160101</c:v>
                </c:pt>
                <c:pt idx="1077">
                  <c:v>-0.40403403718878039</c:v>
                </c:pt>
                <c:pt idx="1078">
                  <c:v>-0.40960184893371143</c:v>
                </c:pt>
                <c:pt idx="1079">
                  <c:v>-0.40928668977833804</c:v>
                </c:pt>
                <c:pt idx="1080">
                  <c:v>-0.40928668977833804</c:v>
                </c:pt>
                <c:pt idx="1081">
                  <c:v>-0.40287845361907759</c:v>
                </c:pt>
                <c:pt idx="1082">
                  <c:v>-0.41149280386595222</c:v>
                </c:pt>
                <c:pt idx="1083">
                  <c:v>-0.43376405084567704</c:v>
                </c:pt>
                <c:pt idx="1084">
                  <c:v>-0.4383863851244878</c:v>
                </c:pt>
                <c:pt idx="1085">
                  <c:v>-0.41758588086983928</c:v>
                </c:pt>
                <c:pt idx="1086">
                  <c:v>-0.41863641138775076</c:v>
                </c:pt>
                <c:pt idx="1087">
                  <c:v>-0.41916167664670656</c:v>
                </c:pt>
                <c:pt idx="1088">
                  <c:v>-0.41895157054312426</c:v>
                </c:pt>
                <c:pt idx="1089">
                  <c:v>-0.4264103372202962</c:v>
                </c:pt>
                <c:pt idx="1090">
                  <c:v>-0.42451938228805541</c:v>
                </c:pt>
                <c:pt idx="1091">
                  <c:v>-0.42451938228805541</c:v>
                </c:pt>
                <c:pt idx="1092">
                  <c:v>-0.42451938228805541</c:v>
                </c:pt>
                <c:pt idx="1093">
                  <c:v>-0.41170290996953463</c:v>
                </c:pt>
                <c:pt idx="1094">
                  <c:v>-0.41884651749133306</c:v>
                </c:pt>
                <c:pt idx="1095">
                  <c:v>-0.41327870574640191</c:v>
                </c:pt>
                <c:pt idx="1096">
                  <c:v>-0.4145393423678958</c:v>
                </c:pt>
                <c:pt idx="1097">
                  <c:v>-0.41401407710894</c:v>
                </c:pt>
                <c:pt idx="1098">
                  <c:v>-0.41622019119655429</c:v>
                </c:pt>
                <c:pt idx="1099">
                  <c:v>-0.41306859964281961</c:v>
                </c:pt>
              </c:numCache>
            </c:numRef>
          </c:val>
          <c:smooth val="0"/>
          <c:extLst>
            <c:ext xmlns:c16="http://schemas.microsoft.com/office/drawing/2014/chart" uri="{C3380CC4-5D6E-409C-BE32-E72D297353CC}">
              <c16:uniqueId val="{00000001-43E1-4895-B267-DD713BA2B0AD}"/>
            </c:ext>
          </c:extLst>
        </c:ser>
        <c:dLbls>
          <c:showLegendKey val="0"/>
          <c:showVal val="0"/>
          <c:showCatName val="0"/>
          <c:showSerName val="0"/>
          <c:showPercent val="0"/>
          <c:showBubbleSize val="0"/>
        </c:dLbls>
        <c:smooth val="0"/>
        <c:axId val="1730910655"/>
        <c:axId val="1730909215"/>
      </c:lineChart>
      <c:dateAx>
        <c:axId val="1730910655"/>
        <c:scaling>
          <c:orientation val="minMax"/>
        </c:scaling>
        <c:delete val="0"/>
        <c:axPos val="b"/>
        <c:numFmt formatCode="mmm\-yy" sourceLinked="0"/>
        <c:majorTickMark val="out"/>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730909215"/>
        <c:crosses val="autoZero"/>
        <c:auto val="1"/>
        <c:lblOffset val="100"/>
        <c:baseTimeUnit val="days"/>
        <c:majorUnit val="6"/>
        <c:majorTimeUnit val="months"/>
        <c:minorUnit val="6"/>
        <c:minorTimeUnit val="months"/>
      </c:dateAx>
      <c:valAx>
        <c:axId val="1730909215"/>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173091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chart" Target="../charts/chart1.xml"/><Relationship Id="rId1" Type="http://schemas.openxmlformats.org/officeDocument/2006/relationships/image" Target="../media/image2.emf"/><Relationship Id="rId5" Type="http://schemas.openxmlformats.org/officeDocument/2006/relationships/chart" Target="../charts/chart2.xml"/><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302459</xdr:colOff>
          <xdr:row>11</xdr:row>
          <xdr:rowOff>3</xdr:rowOff>
        </xdr:from>
        <xdr:to>
          <xdr:col>8</xdr:col>
          <xdr:colOff>46604</xdr:colOff>
          <xdr:row>22</xdr:row>
          <xdr:rowOff>164225</xdr:rowOff>
        </xdr:to>
        <xdr:pic>
          <xdr:nvPicPr>
            <xdr:cNvPr id="4" name="Picture 3">
              <a:extLst>
                <a:ext uri="{FF2B5EF4-FFF2-40B4-BE49-F238E27FC236}">
                  <a16:creationId xmlns:a16="http://schemas.microsoft.com/office/drawing/2014/main" id="{B38965C6-96E7-6B62-ECD7-7D4EFADF3CBB}"/>
                </a:ext>
              </a:extLst>
            </xdr:cNvPr>
            <xdr:cNvPicPr>
              <a:picLocks noChangeAspect="1" noChangeArrowheads="1"/>
              <a:extLst>
                <a:ext uri="{84589F7E-364E-4C9E-8A38-B11213B215E9}">
                  <a14:cameraTool cellRange="Control!$B$2:$D$14" spid="_x0000_s1285"/>
                </a:ext>
              </a:extLst>
            </xdr:cNvPicPr>
          </xdr:nvPicPr>
          <xdr:blipFill>
            <a:blip xmlns:r="http://schemas.openxmlformats.org/officeDocument/2006/relationships" r:embed="rId1"/>
            <a:srcRect/>
            <a:stretch>
              <a:fillRect/>
            </a:stretch>
          </xdr:blipFill>
          <xdr:spPr bwMode="auto">
            <a:xfrm>
              <a:off x="302459" y="1799900"/>
              <a:ext cx="2844697" cy="225972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30284</xdr:colOff>
      <xdr:row>11</xdr:row>
      <xdr:rowOff>22000</xdr:rowOff>
    </xdr:from>
    <xdr:to>
      <xdr:col>18</xdr:col>
      <xdr:colOff>369093</xdr:colOff>
      <xdr:row>22</xdr:row>
      <xdr:rowOff>0</xdr:rowOff>
    </xdr:to>
    <xdr:graphicFrame macro="">
      <xdr:nvGraphicFramePr>
        <xdr:cNvPr id="10" name="Chart 9">
          <a:extLst>
            <a:ext uri="{FF2B5EF4-FFF2-40B4-BE49-F238E27FC236}">
              <a16:creationId xmlns:a16="http://schemas.microsoft.com/office/drawing/2014/main" id="{7E59B971-F0E3-4271-B0D2-D11CA5DB0E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10</xdr:col>
          <xdr:colOff>11648</xdr:colOff>
          <xdr:row>36</xdr:row>
          <xdr:rowOff>142099</xdr:rowOff>
        </xdr:from>
        <xdr:to>
          <xdr:col>18</xdr:col>
          <xdr:colOff>386953</xdr:colOff>
          <xdr:row>40</xdr:row>
          <xdr:rowOff>8420</xdr:rowOff>
        </xdr:to>
        <xdr:pic>
          <xdr:nvPicPr>
            <xdr:cNvPr id="11" name="Picture 10">
              <a:extLst>
                <a:ext uri="{FF2B5EF4-FFF2-40B4-BE49-F238E27FC236}">
                  <a16:creationId xmlns:a16="http://schemas.microsoft.com/office/drawing/2014/main" id="{1EA8F37F-B1CA-8733-FA96-B066C65B261F}"/>
                </a:ext>
              </a:extLst>
            </xdr:cNvPr>
            <xdr:cNvPicPr>
              <a:picLocks noChangeAspect="1" noChangeArrowheads="1"/>
              <a:extLst>
                <a:ext uri="{84589F7E-364E-4C9E-8A38-B11213B215E9}">
                  <a14:cameraTool cellRange="Control!$L$2:$R$5" spid="_x0000_s1286"/>
                </a:ext>
              </a:extLst>
            </xdr:cNvPicPr>
          </xdr:nvPicPr>
          <xdr:blipFill>
            <a:blip xmlns:r="http://schemas.openxmlformats.org/officeDocument/2006/relationships" r:embed="rId3"/>
            <a:srcRect/>
            <a:stretch>
              <a:fillRect/>
            </a:stretch>
          </xdr:blipFill>
          <xdr:spPr bwMode="auto">
            <a:xfrm>
              <a:off x="3660914" y="6702443"/>
              <a:ext cx="3518555" cy="62832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13138</xdr:colOff>
          <xdr:row>31</xdr:row>
          <xdr:rowOff>26562</xdr:rowOff>
        </xdr:from>
        <xdr:to>
          <xdr:col>9</xdr:col>
          <xdr:colOff>0</xdr:colOff>
          <xdr:row>36</xdr:row>
          <xdr:rowOff>0</xdr:rowOff>
        </xdr:to>
        <xdr:pic>
          <xdr:nvPicPr>
            <xdr:cNvPr id="12" name="Picture 11">
              <a:extLst>
                <a:ext uri="{FF2B5EF4-FFF2-40B4-BE49-F238E27FC236}">
                  <a16:creationId xmlns:a16="http://schemas.microsoft.com/office/drawing/2014/main" id="{EA3DF592-9BB3-7C30-8F91-C6ECAFEFE55C}"/>
                </a:ext>
              </a:extLst>
            </xdr:cNvPr>
            <xdr:cNvPicPr>
              <a:picLocks noChangeAspect="1" noChangeArrowheads="1"/>
              <a:extLst>
                <a:ext uri="{84589F7E-364E-4C9E-8A38-B11213B215E9}">
                  <a14:cameraTool cellRange="Control!$L$8:$Q$12" spid="_x0000_s1287"/>
                </a:ext>
              </a:extLst>
            </xdr:cNvPicPr>
          </xdr:nvPicPr>
          <xdr:blipFill>
            <a:blip xmlns:r="http://schemas.openxmlformats.org/officeDocument/2006/relationships" r:embed="rId4"/>
            <a:srcRect/>
            <a:stretch>
              <a:fillRect/>
            </a:stretch>
          </xdr:blipFill>
          <xdr:spPr bwMode="auto">
            <a:xfrm>
              <a:off x="13138" y="5621246"/>
              <a:ext cx="3506099" cy="9259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17859</xdr:colOff>
      <xdr:row>25</xdr:row>
      <xdr:rowOff>17859</xdr:rowOff>
    </xdr:from>
    <xdr:to>
      <xdr:col>18</xdr:col>
      <xdr:colOff>375046</xdr:colOff>
      <xdr:row>36</xdr:row>
      <xdr:rowOff>113108</xdr:rowOff>
    </xdr:to>
    <xdr:graphicFrame macro="">
      <xdr:nvGraphicFramePr>
        <xdr:cNvPr id="15" name="Chart 14">
          <a:extLst>
            <a:ext uri="{FF2B5EF4-FFF2-40B4-BE49-F238E27FC236}">
              <a16:creationId xmlns:a16="http://schemas.microsoft.com/office/drawing/2014/main" id="{AE83DE1B-CA96-40C0-9B40-7E8A1641E7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0</xdr:colOff>
      <xdr:row>38</xdr:row>
      <xdr:rowOff>32845</xdr:rowOff>
    </xdr:from>
    <xdr:ext cx="3775808" cy="2003533"/>
    <xdr:sp macro="" textlink="">
      <xdr:nvSpPr>
        <xdr:cNvPr id="16" name="TextBox 15">
          <a:extLst>
            <a:ext uri="{FF2B5EF4-FFF2-40B4-BE49-F238E27FC236}">
              <a16:creationId xmlns:a16="http://schemas.microsoft.com/office/drawing/2014/main" id="{FE59D99B-61E7-7957-C942-725063EE4BFF}"/>
            </a:ext>
          </a:extLst>
        </xdr:cNvPr>
        <xdr:cNvSpPr txBox="1"/>
      </xdr:nvSpPr>
      <xdr:spPr>
        <a:xfrm>
          <a:off x="0" y="6827345"/>
          <a:ext cx="3775808" cy="20035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just"/>
          <a:r>
            <a:rPr lang="en-MY" sz="900"/>
            <a:t>Our portfolio maintains a heavy concentration in Zetrix AI despite headwinds from Ringgit</a:t>
          </a:r>
          <a:r>
            <a:rPr lang="en-MY" sz="900" baseline="0"/>
            <a:t> appreciation, geopolitical tensions, and tech sector volatility. While MD TS Wong noted delays in ZTrade, eBG, and the NASDAQ listing during the recent briefing, we are maintaining our current position. We believe the risk remains well-contained relative to the potential reward as these core projects progress toward completion.</a:t>
          </a:r>
        </a:p>
        <a:p>
          <a:pPr algn="just"/>
          <a:endParaRPr lang="en-MY" sz="900" baseline="0"/>
        </a:p>
        <a:p>
          <a:pPr algn="just"/>
          <a:r>
            <a:rPr lang="en-MY" sz="900" baseline="0"/>
            <a:t>Significant growth is anticipated this financial year, driven by the rollout of MyDigitalID, age verification, and ZTrade. This trajectory is bolstered by a USD 100 million investment from the IFC, a sub-company of World Bank , comprising USD$ 40 mil in KLSE equity and USD$ 60 mil into the SPV. With the NASDAQ listing now expected to finalize by year-ended, we view it as major re-rating catalyst to release current single-digit valuation in Malaysia.</a:t>
          </a:r>
          <a:endParaRPr lang="en-MY" sz="900"/>
        </a:p>
      </xdr:txBody>
    </xdr:sp>
    <xdr:clientData/>
  </xdr:oneCellAnchor>
  <xdr:twoCellAnchor>
    <xdr:from>
      <xdr:col>0</xdr:col>
      <xdr:colOff>0</xdr:colOff>
      <xdr:row>25</xdr:row>
      <xdr:rowOff>22333</xdr:rowOff>
    </xdr:from>
    <xdr:to>
      <xdr:col>7</xdr:col>
      <xdr:colOff>332391</xdr:colOff>
      <xdr:row>28</xdr:row>
      <xdr:rowOff>157654</xdr:rowOff>
    </xdr:to>
    <xdr:sp macro="" textlink="">
      <xdr:nvSpPr>
        <xdr:cNvPr id="3" name="TextBox 2">
          <a:extLst>
            <a:ext uri="{FF2B5EF4-FFF2-40B4-BE49-F238E27FC236}">
              <a16:creationId xmlns:a16="http://schemas.microsoft.com/office/drawing/2014/main" id="{7FD70B68-3E77-9928-F191-E434088828C7}"/>
            </a:ext>
          </a:extLst>
        </xdr:cNvPr>
        <xdr:cNvSpPr txBox="1"/>
      </xdr:nvSpPr>
      <xdr:spPr>
        <a:xfrm>
          <a:off x="0" y="4489230"/>
          <a:ext cx="3045374" cy="7068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200"/>
            </a:lnSpc>
          </a:pPr>
          <a:r>
            <a:rPr lang="en-MY" sz="900">
              <a:solidFill>
                <a:schemeClr val="tx1"/>
              </a:solidFill>
            </a:rPr>
            <a:t>The strategic</a:t>
          </a:r>
          <a:r>
            <a:rPr lang="en-MY" sz="900" baseline="0">
              <a:solidFill>
                <a:schemeClr val="tx1"/>
              </a:solidFill>
            </a:rPr>
            <a:t> limit on asset allocation of the fund is as follows:</a:t>
          </a:r>
        </a:p>
        <a:p>
          <a:pPr marL="171450" indent="-171450">
            <a:lnSpc>
              <a:spcPts val="1200"/>
            </a:lnSpc>
            <a:buFont typeface="Arial" panose="020B0604020202020204" pitchFamily="34" charset="0"/>
            <a:buChar char="•"/>
          </a:pPr>
          <a:r>
            <a:rPr lang="en-MY" sz="900">
              <a:solidFill>
                <a:schemeClr val="tx1"/>
              </a:solidFill>
            </a:rPr>
            <a:t>Equities: Minimum 60% and maximum 98%.</a:t>
          </a:r>
        </a:p>
        <a:p>
          <a:pPr marL="171450" indent="-171450">
            <a:lnSpc>
              <a:spcPts val="1200"/>
            </a:lnSpc>
            <a:buFont typeface="Arial" panose="020B0604020202020204" pitchFamily="34" charset="0"/>
            <a:buChar char="•"/>
          </a:pPr>
          <a:r>
            <a:rPr lang="en-MY" sz="900">
              <a:solidFill>
                <a:schemeClr val="tx1"/>
              </a:solidFill>
            </a:rPr>
            <a:t>Derivatives: Maximum</a:t>
          </a:r>
          <a:r>
            <a:rPr lang="en-MY" sz="900" baseline="0">
              <a:solidFill>
                <a:schemeClr val="tx1"/>
              </a:solidFill>
            </a:rPr>
            <a:t> 5%.</a:t>
          </a:r>
          <a:endParaRPr lang="en-MY" sz="900">
            <a:solidFill>
              <a:schemeClr val="tx1"/>
            </a:solidFill>
          </a:endParaRPr>
        </a:p>
        <a:p>
          <a:pPr marL="171450" indent="-171450">
            <a:lnSpc>
              <a:spcPts val="1200"/>
            </a:lnSpc>
            <a:buFont typeface="Arial" panose="020B0604020202020204" pitchFamily="34" charset="0"/>
            <a:buChar char="•"/>
          </a:pPr>
          <a:r>
            <a:rPr lang="en-MY" sz="900">
              <a:solidFill>
                <a:schemeClr val="tx1"/>
              </a:solidFill>
            </a:rPr>
            <a:t>Fixed-income</a:t>
          </a:r>
          <a:r>
            <a:rPr lang="en-MY" sz="900" baseline="0">
              <a:solidFill>
                <a:schemeClr val="tx1"/>
              </a:solidFill>
            </a:rPr>
            <a:t> securities: Minimum 2% and maximum 40%.</a:t>
          </a:r>
          <a:endParaRPr lang="en-MY" sz="9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28574</xdr:colOff>
      <xdr:row>30</xdr:row>
      <xdr:rowOff>9525</xdr:rowOff>
    </xdr:from>
    <xdr:ext cx="7400925" cy="1381125"/>
    <xdr:sp macro="" textlink="">
      <xdr:nvSpPr>
        <xdr:cNvPr id="2" name="TextBox 1">
          <a:extLst>
            <a:ext uri="{FF2B5EF4-FFF2-40B4-BE49-F238E27FC236}">
              <a16:creationId xmlns:a16="http://schemas.microsoft.com/office/drawing/2014/main" id="{8E3AA294-B4D0-46F2-90CE-DA99F7591161}"/>
            </a:ext>
          </a:extLst>
        </xdr:cNvPr>
        <xdr:cNvSpPr txBox="1"/>
      </xdr:nvSpPr>
      <xdr:spPr>
        <a:xfrm>
          <a:off x="7566024" y="8855075"/>
          <a:ext cx="7400925" cy="138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228600" indent="-228600" algn="just">
            <a:spcAft>
              <a:spcPts val="600"/>
            </a:spcAft>
            <a:buFont typeface="+mj-lt"/>
            <a:buAutoNum type="arabicPeriod"/>
          </a:pPr>
          <a:r>
            <a:rPr lang="en-MY" sz="1100" b="0" baseline="0"/>
            <a:t> </a:t>
          </a:r>
          <a:r>
            <a:rPr lang="en-MY" sz="1100" b="1" baseline="0"/>
            <a:t>Confidentially</a:t>
          </a:r>
          <a:r>
            <a:rPr lang="en-MY" sz="1100" b="0" baseline="0"/>
            <a:t>: This statement contains personal data and is intended solely for the receipnt. Please do not share this document with any third parties.</a:t>
          </a:r>
          <a:endParaRPr lang="en-MY" sz="1100" b="0"/>
        </a:p>
        <a:p>
          <a:pPr marL="228600" indent="-228600" algn="just">
            <a:spcAft>
              <a:spcPts val="600"/>
            </a:spcAft>
            <a:buFont typeface="+mj-lt"/>
            <a:buAutoNum type="arabicPeriod"/>
          </a:pPr>
          <a:r>
            <a:rPr lang="en-MY" sz="1100" b="0"/>
            <a:t> </a:t>
          </a:r>
          <a:r>
            <a:rPr lang="en-MY" sz="1100" b="1"/>
            <a:t>Discrepancies</a:t>
          </a:r>
          <a:r>
            <a:rPr lang="en-MY" sz="1100" b="0"/>
            <a:t>: Please review all figure carefully.</a:t>
          </a:r>
          <a:r>
            <a:rPr lang="en-MY" sz="1100" b="0" baseline="0"/>
            <a:t> Any discrrepancies or "untally" figures must be reported to us immediately ; failure to do so may result in the recipient bearing any associated losses.</a:t>
          </a:r>
          <a:endParaRPr lang="en-MY" sz="1100" b="0"/>
        </a:p>
        <a:p>
          <a:pPr marL="228600" indent="-228600" algn="just">
            <a:spcAft>
              <a:spcPts val="600"/>
            </a:spcAft>
            <a:buFont typeface="+mj-lt"/>
            <a:buAutoNum type="arabicPeriod"/>
          </a:pPr>
          <a:r>
            <a:rPr lang="en-MY" sz="1100" b="0"/>
            <a:t> </a:t>
          </a:r>
          <a:r>
            <a:rPr lang="en-MY" sz="1100" b="1"/>
            <a:t>Digital Statemetns</a:t>
          </a:r>
          <a:r>
            <a:rPr lang="en-MY" sz="1100" b="0"/>
            <a:t>: Effective 1st January 2026, all future</a:t>
          </a:r>
          <a:r>
            <a:rPr lang="en-MY" sz="1100" b="0" baseline="0"/>
            <a:t> portfolio statements will be provided exclusively via WhatsApp.</a:t>
          </a:r>
          <a:endParaRPr lang="en-MY" sz="1100" b="0"/>
        </a:p>
        <a:p>
          <a:pPr marL="228600" indent="-228600">
            <a:spcAft>
              <a:spcPts val="600"/>
            </a:spcAft>
            <a:buFont typeface="+mj-lt"/>
            <a:buAutoNum type="arabicPeriod"/>
          </a:pPr>
          <a:endParaRPr lang="en-MY" sz="1200" b="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30</xdr:row>
      <xdr:rowOff>0</xdr:rowOff>
    </xdr:from>
    <xdr:ext cx="7400925" cy="1381125"/>
    <xdr:sp macro="" textlink="">
      <xdr:nvSpPr>
        <xdr:cNvPr id="2" name="TextBox 1">
          <a:extLst>
            <a:ext uri="{FF2B5EF4-FFF2-40B4-BE49-F238E27FC236}">
              <a16:creationId xmlns:a16="http://schemas.microsoft.com/office/drawing/2014/main" id="{164C80D6-A6B5-41CC-B207-2B04B0437131}"/>
            </a:ext>
          </a:extLst>
        </xdr:cNvPr>
        <xdr:cNvSpPr txBox="1"/>
      </xdr:nvSpPr>
      <xdr:spPr>
        <a:xfrm>
          <a:off x="0" y="8791575"/>
          <a:ext cx="7400925" cy="138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228600" indent="-228600" algn="just">
            <a:spcAft>
              <a:spcPts val="600"/>
            </a:spcAft>
            <a:buFont typeface="+mj-lt"/>
            <a:buAutoNum type="arabicPeriod"/>
          </a:pPr>
          <a:r>
            <a:rPr lang="en-MY" sz="1100" b="0" baseline="0"/>
            <a:t> </a:t>
          </a:r>
          <a:r>
            <a:rPr lang="en-MY" sz="1100" b="1" baseline="0"/>
            <a:t>Confidentially</a:t>
          </a:r>
          <a:r>
            <a:rPr lang="en-MY" sz="1100" b="0" baseline="0"/>
            <a:t>: This statement contains personal data and is intended solely for the receipnt. Please do not share this document with any third parties.</a:t>
          </a:r>
          <a:endParaRPr lang="en-MY" sz="1100" b="0"/>
        </a:p>
        <a:p>
          <a:pPr marL="228600" indent="-228600" algn="just">
            <a:spcAft>
              <a:spcPts val="600"/>
            </a:spcAft>
            <a:buFont typeface="+mj-lt"/>
            <a:buAutoNum type="arabicPeriod"/>
          </a:pPr>
          <a:r>
            <a:rPr lang="en-MY" sz="1100" b="0"/>
            <a:t> </a:t>
          </a:r>
          <a:r>
            <a:rPr lang="en-MY" sz="1100" b="1"/>
            <a:t>Discrepancies</a:t>
          </a:r>
          <a:r>
            <a:rPr lang="en-MY" sz="1100" b="0"/>
            <a:t>: Please review all figure carefully.</a:t>
          </a:r>
          <a:r>
            <a:rPr lang="en-MY" sz="1100" b="0" baseline="0"/>
            <a:t> Any discrrepancies or "untally" figures must be reported to us immediately ; failure to do so may result in the recipient bearing any associated losses.</a:t>
          </a:r>
          <a:endParaRPr lang="en-MY" sz="1100" b="0"/>
        </a:p>
        <a:p>
          <a:pPr marL="228600" indent="-228600" algn="just">
            <a:spcAft>
              <a:spcPts val="600"/>
            </a:spcAft>
            <a:buFont typeface="+mj-lt"/>
            <a:buAutoNum type="arabicPeriod"/>
          </a:pPr>
          <a:r>
            <a:rPr lang="en-MY" sz="1100" b="0"/>
            <a:t> </a:t>
          </a:r>
          <a:r>
            <a:rPr lang="en-MY" sz="1100" b="1"/>
            <a:t>Digital Statemetns</a:t>
          </a:r>
          <a:r>
            <a:rPr lang="en-MY" sz="1100" b="0"/>
            <a:t>: Effective 1st January 2026, all future</a:t>
          </a:r>
          <a:r>
            <a:rPr lang="en-MY" sz="1100" b="0" baseline="0"/>
            <a:t> portfolio statements will be provided exclusively via WhatsApp.</a:t>
          </a:r>
          <a:endParaRPr lang="en-MY" sz="1100" b="0"/>
        </a:p>
        <a:p>
          <a:pPr marL="228600" indent="-228600">
            <a:spcAft>
              <a:spcPts val="600"/>
            </a:spcAft>
            <a:buFont typeface="+mj-lt"/>
            <a:buAutoNum type="arabicPeriod"/>
          </a:pPr>
          <a:endParaRPr lang="en-MY" sz="1200" b="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30</xdr:row>
      <xdr:rowOff>0</xdr:rowOff>
    </xdr:from>
    <xdr:ext cx="7400925" cy="1381125"/>
    <xdr:sp macro="" textlink="">
      <xdr:nvSpPr>
        <xdr:cNvPr id="3" name="TextBox 2">
          <a:extLst>
            <a:ext uri="{FF2B5EF4-FFF2-40B4-BE49-F238E27FC236}">
              <a16:creationId xmlns:a16="http://schemas.microsoft.com/office/drawing/2014/main" id="{DF5DDDA9-C4F9-419F-8DE8-285D6DFCDCEE}"/>
            </a:ext>
          </a:extLst>
        </xdr:cNvPr>
        <xdr:cNvSpPr txBox="1"/>
      </xdr:nvSpPr>
      <xdr:spPr>
        <a:xfrm>
          <a:off x="0" y="8791575"/>
          <a:ext cx="7400925" cy="1381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228600" indent="-228600" algn="just">
            <a:spcAft>
              <a:spcPts val="600"/>
            </a:spcAft>
            <a:buFont typeface="+mj-lt"/>
            <a:buAutoNum type="arabicPeriod"/>
          </a:pPr>
          <a:r>
            <a:rPr lang="en-MY" sz="1100" b="0" baseline="0"/>
            <a:t> </a:t>
          </a:r>
          <a:r>
            <a:rPr lang="en-MY" sz="1100" b="1" baseline="0"/>
            <a:t>Confidentially</a:t>
          </a:r>
          <a:r>
            <a:rPr lang="en-MY" sz="1100" b="0" baseline="0"/>
            <a:t>: This statement contains personal data and is intended solely for the receipnt. Please do not share this document with any third parties.</a:t>
          </a:r>
          <a:endParaRPr lang="en-MY" sz="1100" b="0"/>
        </a:p>
        <a:p>
          <a:pPr marL="228600" indent="-228600" algn="just">
            <a:spcAft>
              <a:spcPts val="600"/>
            </a:spcAft>
            <a:buFont typeface="+mj-lt"/>
            <a:buAutoNum type="arabicPeriod"/>
          </a:pPr>
          <a:r>
            <a:rPr lang="en-MY" sz="1100" b="0"/>
            <a:t> </a:t>
          </a:r>
          <a:r>
            <a:rPr lang="en-MY" sz="1100" b="1"/>
            <a:t>Discrepancies</a:t>
          </a:r>
          <a:r>
            <a:rPr lang="en-MY" sz="1100" b="0"/>
            <a:t>: Please review all figure carefully.</a:t>
          </a:r>
          <a:r>
            <a:rPr lang="en-MY" sz="1100" b="0" baseline="0"/>
            <a:t> Any discrrepancies or "untally" figures must be reported to us immediately ; failure to do so may result in the recipient bearing any associated losses.</a:t>
          </a:r>
          <a:endParaRPr lang="en-MY" sz="1100" b="0"/>
        </a:p>
        <a:p>
          <a:pPr marL="228600" indent="-228600" algn="just">
            <a:spcAft>
              <a:spcPts val="600"/>
            </a:spcAft>
            <a:buFont typeface="+mj-lt"/>
            <a:buAutoNum type="arabicPeriod"/>
          </a:pPr>
          <a:r>
            <a:rPr lang="en-MY" sz="1100" b="0"/>
            <a:t> </a:t>
          </a:r>
          <a:r>
            <a:rPr lang="en-MY" sz="1100" b="1"/>
            <a:t>Digital Statemetns</a:t>
          </a:r>
          <a:r>
            <a:rPr lang="en-MY" sz="1100" b="0"/>
            <a:t>: Effective 1st January 2026, all future</a:t>
          </a:r>
          <a:r>
            <a:rPr lang="en-MY" sz="1100" b="0" baseline="0"/>
            <a:t> portfolio statements will be provided exclusively via WhatsApp.</a:t>
          </a:r>
          <a:endParaRPr lang="en-MY" sz="1100" b="0"/>
        </a:p>
        <a:p>
          <a:pPr marL="228600" indent="-228600">
            <a:spcAft>
              <a:spcPts val="600"/>
            </a:spcAft>
            <a:buFont typeface="+mj-lt"/>
            <a:buAutoNum type="arabicPeriod"/>
          </a:pPr>
          <a:endParaRPr lang="en-MY" sz="1200" b="0"/>
        </a:p>
      </xdr:txBody>
    </xdr:sp>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1">
    <v>13</v>
    <v>3</v>
  </rv>
  <rv s="2">
    <v>13</v>
    <v>1</v>
  </rv>
</rvData>
</file>

<file path=xl/richData/rdrichvaluestructure.xml><?xml version="1.0" encoding="utf-8"?>
<rvStructures xmlns="http://schemas.microsoft.com/office/spreadsheetml/2017/richdata" count="3">
  <s t="_localImage">
    <k n="_rvRel:LocalImageIdentifier" t="i"/>
    <k n="CalcOrigin" t="i"/>
  </s>
  <s t="_error">
    <k n="errorType" t="i"/>
    <k n="subType" t="i"/>
  </s>
  <s t="_error">
    <k n="errorType" t="i"/>
    <k n="propagated" t="b"/>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62505A-19F0-4522-BE78-16F7087C7684}" name="Table1" displayName="Table1" ref="H1:I4" totalsRowShown="0">
  <autoFilter ref="H1:I4" xr:uid="{9E62505A-19F0-4522-BE78-16F7087C7684}"/>
  <sortState xmlns:xlrd2="http://schemas.microsoft.com/office/spreadsheetml/2017/richdata2" ref="H2:I4">
    <sortCondition descending="1" ref="I1:I4"/>
  </sortState>
  <tableColumns count="2">
    <tableColumn id="1" xr3:uid="{BAD52B9F-8577-4FA1-B299-1F12DA94FACD}" name="Sector"/>
    <tableColumn id="2" xr3:uid="{280F7575-F4C0-43C7-BEDB-3186835297F4}" name="Percentage" dataDxfId="21" dataCellStyle="Perce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57C4A9-059B-4AF2-A707-67955480C40A}" name="InvProfile" displayName="InvProfile" ref="A1:R9" totalsRowShown="0" headerRowDxfId="20" dataDxfId="19">
  <tableColumns count="18">
    <tableColumn id="13" xr3:uid="{0E741548-983A-435B-9BAD-84DE74DF9690}" name="Account ID" dataDxfId="18">
      <calculatedColumnFormula>LEFT(InvProfile[[#This Row],[Account Type]],1)&amp;"A00"&amp;RIGHT(YEAR(InvProfile[[#This Row],[Issued Date]]),2)&amp;TEXT(MONTH(InvProfile[[#This Row],[Issued Date]]),"00")&amp;TEXT(DAY(InvProfile[[#This Row],[Issued Date]]),"00")</calculatedColumnFormula>
    </tableColumn>
    <tableColumn id="11" xr3:uid="{61F39696-8F97-46E6-9F93-130E29CF1846}" name="Account Type" dataDxfId="17"/>
    <tableColumn id="1" xr3:uid="{22B0C128-5DF4-484C-A288-1E27B13AF54D}" name="Registered Name" dataDxfId="16"/>
    <tableColumn id="2" xr3:uid="{1394633A-CCF5-4A94-9FAA-3C11143D0781}" name="Nominee" dataDxfId="15"/>
    <tableColumn id="15" xr3:uid="{7391E198-5E30-470E-A091-B6DA16763A94}" name="Holding Units" dataDxfId="14"/>
    <tableColumn id="14" xr3:uid="{E47076AB-9E4E-461C-A39F-F781E800B4A6}" name="Total Cost" dataDxfId="13"/>
    <tableColumn id="16" xr3:uid="{DEDF20D0-48C9-4CD8-9D5D-6526AB8A8F43}" name="Latest Price" dataDxfId="12"/>
    <tableColumn id="18" xr3:uid="{DAE96684-D976-462C-A8F0-938F40C2FC29}" name="Realized" dataDxfId="11"/>
    <tableColumn id="17" xr3:uid="{2C99FCF3-C03D-4AE8-924A-E1B710970AD3}" name="Dividend Recd" dataDxfId="10"/>
    <tableColumn id="12" xr3:uid="{570C0E2C-0B3A-4EAD-8DA4-46AA85BDAF63}" name="Issued Date" dataDxfId="9"/>
    <tableColumn id="3" xr3:uid="{90DE4DF1-F2C1-41B5-922D-A8990A1B8B36}" name="Phone" dataDxfId="8"/>
    <tableColumn id="4" xr3:uid="{0265BCDD-04D5-4D55-A662-6CAACFCB9AEF}" name="Email" dataDxfId="7"/>
    <tableColumn id="5" xr3:uid="{66597149-F17B-4BCE-88E7-C32918A32932}" name="Settlement" dataDxfId="6"/>
    <tableColumn id="6" xr3:uid="{819113AB-260C-49E4-9083-E5C8FE7F7B7D}" name="Bank Name" dataDxfId="5"/>
    <tableColumn id="7" xr3:uid="{72818A08-E592-4987-9415-C73049B70E26}" name="Bank Acc" dataDxfId="4"/>
    <tableColumn id="8" xr3:uid="{571D4422-219A-4D0B-B305-061FC423D8A9}" name="Address" dataDxfId="3"/>
    <tableColumn id="10" xr3:uid="{26761E0B-7110-4244-8135-7F29545C176D}" name="Taman" dataDxfId="2"/>
    <tableColumn id="9" xr3:uid="{136C7944-478C-4BC1-BCFA-2FF0D6239B60}" name="Postcode"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mailto:osaka88@gmail.com" TargetMode="External"/><Relationship Id="rId7" Type="http://schemas.openxmlformats.org/officeDocument/2006/relationships/hyperlink" Target="mailto:osaka88@gmail.com" TargetMode="External"/><Relationship Id="rId2" Type="http://schemas.openxmlformats.org/officeDocument/2006/relationships/hyperlink" Target="mailto:osaka88@gmail.com" TargetMode="External"/><Relationship Id="rId1" Type="http://schemas.openxmlformats.org/officeDocument/2006/relationships/hyperlink" Target="mailto:ngzy0825@gmail.com" TargetMode="External"/><Relationship Id="rId6" Type="http://schemas.openxmlformats.org/officeDocument/2006/relationships/hyperlink" Target="mailto:nzy.invest@gmail.com" TargetMode="External"/><Relationship Id="rId5" Type="http://schemas.openxmlformats.org/officeDocument/2006/relationships/hyperlink" Target="mailto:kensiah@live.com" TargetMode="External"/><Relationship Id="rId4" Type="http://schemas.openxmlformats.org/officeDocument/2006/relationships/hyperlink" Target="mailto:ngxy2004@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mailto:ngzy0825@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13B52-F782-46F9-A7D2-C5D166467C36}">
  <sheetPr codeName="Sheet1">
    <pageSetUpPr fitToPage="1"/>
  </sheetPr>
  <dimension ref="B1:R18"/>
  <sheetViews>
    <sheetView showGridLines="0" tabSelected="1" zoomScale="115" zoomScaleNormal="115" workbookViewId="0">
      <selection activeCell="I18" sqref="I18"/>
    </sheetView>
  </sheetViews>
  <sheetFormatPr defaultRowHeight="14.5" x14ac:dyDescent="0.35"/>
  <cols>
    <col min="2" max="2" width="25.54296875" style="1" customWidth="1"/>
    <col min="3" max="3" width="4" customWidth="1"/>
    <col min="4" max="4" width="25.54296875" customWidth="1"/>
    <col min="8" max="8" width="26.7265625" customWidth="1"/>
    <col min="9" max="9" width="22.453125" customWidth="1"/>
    <col min="12" max="12" width="9.1796875" customWidth="1"/>
    <col min="20" max="21" width="17.26953125" customWidth="1"/>
  </cols>
  <sheetData>
    <row r="1" spans="2:18" x14ac:dyDescent="0.35">
      <c r="H1" t="s">
        <v>17</v>
      </c>
      <c r="I1" t="s">
        <v>18</v>
      </c>
    </row>
    <row r="2" spans="2:18" x14ac:dyDescent="0.35">
      <c r="B2" s="10" t="s">
        <v>0</v>
      </c>
      <c r="C2" s="11"/>
      <c r="D2" s="12" t="s">
        <v>12</v>
      </c>
      <c r="H2" t="s">
        <v>19</v>
      </c>
      <c r="I2" s="3">
        <v>0.76429999999999998</v>
      </c>
      <c r="L2" s="4" t="s">
        <v>24</v>
      </c>
      <c r="M2" s="4" t="s">
        <v>27</v>
      </c>
      <c r="N2" s="4" t="s">
        <v>28</v>
      </c>
      <c r="O2" s="4" t="s">
        <v>29</v>
      </c>
      <c r="P2" s="4" t="s">
        <v>30</v>
      </c>
      <c r="Q2" s="4" t="s">
        <v>31</v>
      </c>
      <c r="R2" s="4" t="s">
        <v>32</v>
      </c>
    </row>
    <row r="3" spans="2:18" x14ac:dyDescent="0.35">
      <c r="B3" s="10" t="s">
        <v>1</v>
      </c>
      <c r="C3" s="11"/>
      <c r="D3" s="12" t="s">
        <v>13</v>
      </c>
      <c r="H3" t="s">
        <v>20</v>
      </c>
      <c r="I3" s="3">
        <v>0.23599999999999999</v>
      </c>
      <c r="L3" s="6" t="s">
        <v>25</v>
      </c>
      <c r="M3" s="7">
        <f>100*((1+_xlfn.XLOOKUP(EOMONTH(ID,0),Data!$A:$A,Data!$B:$B,,-1))/(1+_xlfn.XLOOKUP(EOMONTH(ID,-1),Data!$A:$A,Data!$B:$B,,-1))-1)</f>
        <v>2.0925206766538862</v>
      </c>
      <c r="N3" s="7">
        <f>100*((1+_xlfn.XLOOKUP(EOMONTH(ID,0),Data!$A:$A,Data!$B:$B,,-1))/(1+_xlfn.XLOOKUP(EOMONTH(ID,-3),Data!$A:$A,Data!$B:$B,,-1))-1)</f>
        <v>-3.8617351800801392</v>
      </c>
      <c r="O3" s="7">
        <f>100*((1+_xlfn.XLOOKUP(EOMONTH(ID,0),Data!$A:$A,Data!$B:$B,,-1))/(1+_xlfn.XLOOKUP(EOMONTH(ID,-6),Data!$A:$A,Data!$B:$B,,-1))-1)</f>
        <v>2.1268522115366117</v>
      </c>
      <c r="P3" s="7">
        <f>100*((1+_xlfn.XLOOKUP(EOMONTH(ID,0),Data!$A:$A,Data!$B:$B,,-1))/(1+_xlfn.XLOOKUP(EOMONTH(ID,-12),Data!$A:$A,Data!$B:$B,,-1))-1)</f>
        <v>18.201739583308374</v>
      </c>
      <c r="Q3" s="7">
        <f>100*((1+_xlfn.XLOOKUP(EOMONTH(ID,0),Data!$A:$A,Data!$B:$B,,-1))/(1+_xlfn.XLOOKUP(EOMONTH(ID,-36),Data!$A:$A,Data!$B:$B,,-1))-1)</f>
        <v>18.727435931477054</v>
      </c>
      <c r="R3" s="7">
        <f>100*((1+_xlfn.XLOOKUP(EOMONTH(ID,0),Data!$A:$A,Data!$B:$B,,-1))/(1+_xlfn.XLOOKUP(DATE(2021,12,13),Data!$A:$A,Data!$B:$B,,-1))-1)</f>
        <v>6.9592072326128518</v>
      </c>
    </row>
    <row r="4" spans="2:18" x14ac:dyDescent="0.35">
      <c r="B4" s="10" t="s">
        <v>2</v>
      </c>
      <c r="C4" s="11"/>
      <c r="D4" s="13">
        <v>44543</v>
      </c>
      <c r="H4" t="s">
        <v>21</v>
      </c>
      <c r="I4" s="3">
        <v>0</v>
      </c>
      <c r="L4" s="6" t="s">
        <v>26</v>
      </c>
      <c r="M4" s="7">
        <f>100*((1+_xlfn.XLOOKUP(EOMONTH(ID,0),Data!$A:$A,Data!$C:$C,,-1))/(1+_xlfn.XLOOKUP(EOMONTH(ID,-1),Data!$A:$A,Data!$C:$C,,-1))-1)</f>
        <v>-1.3941225127521717</v>
      </c>
      <c r="N4" s="7">
        <f>100*((1+_xlfn.XLOOKUP(EOMONTH(ID,0),Data!$A:$A,Data!$C:$C,,-1))/(1+_xlfn.XLOOKUP(EOMONTH(ID,-3),Data!$A:$A,Data!$C:$C,,-1))-1)</f>
        <v>6.989223855852722</v>
      </c>
      <c r="O4" s="7">
        <f>100*((1+_xlfn.XLOOKUP(EOMONTH(ID,0),Data!$A:$A,Data!$C:$C,,-1))/(1+_xlfn.XLOOKUP(EOMONTH(ID,-6),Data!$A:$A,Data!$C:$C,,-1))-1)</f>
        <v>8.9828076590990023</v>
      </c>
      <c r="P4" s="7">
        <f>100*((1+_xlfn.XLOOKUP(EOMONTH(ID,0),Data!$A:$A,Data!$C:$C,,-1))/(1+_xlfn.XLOOKUP(EOMONTH(ID,-12),Data!$A:$A,Data!$C:$C,,-1))-1)</f>
        <v>9.0118752778307165</v>
      </c>
      <c r="Q4" s="7">
        <f>100*((1+_xlfn.XLOOKUP(EOMONTH(ID,0),Data!$A:$A,Data!$C:$C,,-1))/(1+_xlfn.XLOOKUP(EOMONTH(ID,-36),Data!$A:$A,Data!$C:$C,,-1))-1)</f>
        <v>18.045784938694396</v>
      </c>
      <c r="R4" s="7">
        <f>100*((1+_xlfn.XLOOKUP(EOMONTH(ID,0),Data!$A:$A,Data!$C:$C,,-1))/(1+_xlfn.XLOOKUP(DATE(2021,12,13),Data!$A:$A,Data!$C:$C,,-1))-1)</f>
        <v>14.834165072314477</v>
      </c>
    </row>
    <row r="5" spans="2:18" x14ac:dyDescent="0.35">
      <c r="B5" s="10" t="s">
        <v>3</v>
      </c>
      <c r="C5" s="11"/>
      <c r="D5" s="14">
        <v>1.06958843341735</v>
      </c>
      <c r="L5" s="6" t="s">
        <v>42</v>
      </c>
      <c r="M5" s="7">
        <f>100*((1+_xlfn.XLOOKUP(EOMONTH(ID,0),Data!$A:$A,Data!$D:$D,,-1))/(1+_xlfn.XLOOKUP(EOMONTH(ID,-1),Data!$A:$A,Data!$D:$D,,-1))-1)</f>
        <v>-0.64022763649297376</v>
      </c>
      <c r="N5" s="7">
        <f>100*((1+_xlfn.XLOOKUP(EOMONTH(ID,0),Data!$A:$A,Data!$D:$D,,-1))/(1+_xlfn.XLOOKUP(EOMONTH(ID,-3),Data!$A:$A,Data!$D:$D,,-1))-1)</f>
        <v>-3.053964948811394</v>
      </c>
      <c r="O5" s="7">
        <f>100*((1+_xlfn.XLOOKUP(EOMONTH(ID,0),Data!$A:$A,Data!$D:$D,,-1))/(1+_xlfn.XLOOKUP(EOMONTH(ID,-6),Data!$A:$A,Data!$D:$D,,-1))-1)</f>
        <v>0.59416636658262689</v>
      </c>
      <c r="P5" s="7">
        <f>100*((1+_xlfn.XLOOKUP(EOMONTH(ID,0),Data!$A:$A,Data!$D:$D,,-1))/(1+_xlfn.XLOOKUP(EOMONTH(ID,-12),Data!$A:$A,Data!$D:$D,,-1))-1)</f>
        <v>10.54610209734863</v>
      </c>
      <c r="Q5" s="7">
        <f>100*((1+_xlfn.XLOOKUP(EOMONTH(ID,0),Data!$A:$A,Data!$D:$D,,-1))/(1+_xlfn.XLOOKUP(EOMONTH(ID,-36),Data!$A:$A,Data!$D:$D,,-1))-1)</f>
        <v>-12.621207381920552</v>
      </c>
      <c r="R5" s="7">
        <f>100*((1+_xlfn.XLOOKUP(EOMONTH(ID,0),Data!$A:$A,Data!$D:$D,,-1))/(1+_xlfn.XLOOKUP(DATE(2021,12,13),Data!$A:$A,Data!$D:$D,,-1))-1)</f>
        <v>-41.306859964281962</v>
      </c>
    </row>
    <row r="6" spans="2:18" x14ac:dyDescent="0.35">
      <c r="B6" s="10" t="s">
        <v>4</v>
      </c>
      <c r="C6" s="11"/>
      <c r="D6" s="15">
        <f>D5*D7</f>
        <v>858278.79000000178</v>
      </c>
    </row>
    <row r="7" spans="2:18" x14ac:dyDescent="0.35">
      <c r="B7" s="10" t="s">
        <v>5</v>
      </c>
      <c r="C7" s="11"/>
      <c r="D7" s="16">
        <v>802438.36150863103</v>
      </c>
    </row>
    <row r="8" spans="2:18" x14ac:dyDescent="0.35">
      <c r="B8" s="10" t="s">
        <v>6</v>
      </c>
      <c r="C8" s="11"/>
      <c r="D8" s="17">
        <v>46356</v>
      </c>
      <c r="H8" t="s">
        <v>140</v>
      </c>
      <c r="L8" s="22" t="s">
        <v>34</v>
      </c>
      <c r="M8" s="91" t="s">
        <v>52</v>
      </c>
      <c r="N8" s="91"/>
      <c r="O8" s="91" t="s">
        <v>35</v>
      </c>
      <c r="P8" s="91"/>
      <c r="Q8" s="91" t="s">
        <v>53</v>
      </c>
      <c r="R8" s="91"/>
    </row>
    <row r="9" spans="2:18" x14ac:dyDescent="0.35">
      <c r="B9" s="10" t="s">
        <v>7</v>
      </c>
      <c r="C9" s="11"/>
      <c r="D9" s="18">
        <v>10000</v>
      </c>
      <c r="H9" t="s">
        <v>141</v>
      </c>
      <c r="L9" s="22">
        <v>2024</v>
      </c>
      <c r="M9" s="91" t="s">
        <v>50</v>
      </c>
      <c r="N9" s="91"/>
      <c r="O9" s="93">
        <v>0.5</v>
      </c>
      <c r="P9" s="93"/>
      <c r="Q9" s="92">
        <v>0.90900000000000003</v>
      </c>
      <c r="R9" s="92"/>
    </row>
    <row r="10" spans="2:18" x14ac:dyDescent="0.35">
      <c r="B10" s="10" t="s">
        <v>8</v>
      </c>
      <c r="C10" s="11"/>
      <c r="D10" s="18">
        <v>1000</v>
      </c>
      <c r="L10" s="22">
        <v>2024</v>
      </c>
      <c r="M10" s="91" t="s">
        <v>51</v>
      </c>
      <c r="N10" s="91"/>
      <c r="O10" s="93">
        <v>1.55</v>
      </c>
      <c r="P10" s="93"/>
      <c r="Q10" s="92">
        <v>0.2601</v>
      </c>
      <c r="R10" s="92"/>
    </row>
    <row r="11" spans="2:18" x14ac:dyDescent="0.35">
      <c r="B11" s="10" t="s">
        <v>9</v>
      </c>
      <c r="C11" s="11"/>
      <c r="D11" s="12" t="s">
        <v>41</v>
      </c>
      <c r="L11" s="22">
        <v>2025</v>
      </c>
      <c r="M11" s="91" t="s">
        <v>50</v>
      </c>
      <c r="N11" s="91"/>
      <c r="O11" s="93">
        <v>2.1</v>
      </c>
      <c r="P11" s="93"/>
      <c r="Q11" s="92">
        <v>0.79800000000000004</v>
      </c>
      <c r="R11" s="92"/>
    </row>
    <row r="12" spans="2:18" x14ac:dyDescent="0.35">
      <c r="B12" s="10" t="s">
        <v>10</v>
      </c>
      <c r="C12" s="11"/>
      <c r="D12" s="12" t="s">
        <v>46</v>
      </c>
      <c r="L12" s="22">
        <v>2025</v>
      </c>
      <c r="M12" s="91" t="s">
        <v>51</v>
      </c>
      <c r="N12" s="91"/>
      <c r="O12" s="93">
        <v>1</v>
      </c>
      <c r="P12" s="93"/>
      <c r="Q12" s="92">
        <v>0.11899999999999999</v>
      </c>
      <c r="R12" s="92"/>
    </row>
    <row r="13" spans="2:18" x14ac:dyDescent="0.35">
      <c r="B13" s="10" t="s">
        <v>15</v>
      </c>
      <c r="C13" s="11"/>
      <c r="D13" s="12" t="s">
        <v>45</v>
      </c>
      <c r="H13" t="s">
        <v>189</v>
      </c>
      <c r="I13">
        <v>1</v>
      </c>
    </row>
    <row r="14" spans="2:18" x14ac:dyDescent="0.35">
      <c r="B14" s="10" t="s">
        <v>11</v>
      </c>
      <c r="C14" s="11"/>
      <c r="D14" s="12" t="s">
        <v>16</v>
      </c>
    </row>
    <row r="15" spans="2:18" x14ac:dyDescent="0.35">
      <c r="D15" s="2"/>
    </row>
    <row r="18" spans="8:8" x14ac:dyDescent="0.35">
      <c r="H18">
        <f>22.9/D6*100</f>
        <v>2.6681307130984734E-3</v>
      </c>
    </row>
  </sheetData>
  <mergeCells count="15">
    <mergeCell ref="M9:N9"/>
    <mergeCell ref="M10:N10"/>
    <mergeCell ref="M11:N11"/>
    <mergeCell ref="M12:N12"/>
    <mergeCell ref="O8:P8"/>
    <mergeCell ref="O9:P9"/>
    <mergeCell ref="O10:P10"/>
    <mergeCell ref="O11:P11"/>
    <mergeCell ref="O12:P12"/>
    <mergeCell ref="M8:N8"/>
    <mergeCell ref="Q8:R8"/>
    <mergeCell ref="Q9:R9"/>
    <mergeCell ref="Q10:R10"/>
    <mergeCell ref="Q11:R11"/>
    <mergeCell ref="Q12:R12"/>
  </mergeCells>
  <pageMargins left="0.7" right="0.7" top="0.75" bottom="0.75" header="0.3" footer="0.3"/>
  <pageSetup fitToWidth="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EE2B-05B8-472F-B3E4-6BD330A6E04F}">
  <sheetPr codeName="Sheet2"/>
  <dimension ref="A1:M1102"/>
  <sheetViews>
    <sheetView topLeftCell="A1077" workbookViewId="0">
      <selection activeCell="C1110" sqref="C1110"/>
    </sheetView>
  </sheetViews>
  <sheetFormatPr defaultRowHeight="14.5" x14ac:dyDescent="0.35"/>
  <cols>
    <col min="1" max="4" width="17.7265625" customWidth="1"/>
    <col min="6" max="7" width="17.54296875" customWidth="1"/>
    <col min="8" max="10" width="14.7265625" customWidth="1"/>
  </cols>
  <sheetData>
    <row r="1" spans="1:4" x14ac:dyDescent="0.35">
      <c r="A1" t="s">
        <v>23</v>
      </c>
      <c r="B1" t="s">
        <v>37</v>
      </c>
      <c r="C1" t="s">
        <v>38</v>
      </c>
      <c r="D1" t="s">
        <v>39</v>
      </c>
    </row>
    <row r="2" spans="1:4" x14ac:dyDescent="0.35">
      <c r="A2" s="5">
        <v>44543</v>
      </c>
      <c r="B2" s="3">
        <v>0</v>
      </c>
      <c r="C2" s="3">
        <v>0</v>
      </c>
      <c r="D2" s="3">
        <v>0</v>
      </c>
    </row>
    <row r="3" spans="1:4" x14ac:dyDescent="0.35">
      <c r="A3" s="5">
        <v>44544</v>
      </c>
      <c r="B3" s="3">
        <v>-2.8070175438599243E-5</v>
      </c>
      <c r="C3" s="3">
        <v>-9.3252879868347405E-3</v>
      </c>
      <c r="D3" s="3">
        <v>-2.6263262947788801E-3</v>
      </c>
    </row>
    <row r="4" spans="1:4" x14ac:dyDescent="0.35">
      <c r="A4" s="5">
        <v>44545</v>
      </c>
      <c r="B4" s="3">
        <v>-5.6140350877087464E-5</v>
      </c>
      <c r="C4" s="3">
        <v>-8.0609555409870692E-3</v>
      </c>
      <c r="D4" s="3">
        <v>-1.2606366214938935E-3</v>
      </c>
    </row>
    <row r="5" spans="1:4" x14ac:dyDescent="0.35">
      <c r="A5" s="5">
        <v>44546</v>
      </c>
      <c r="B5" s="3">
        <v>-8.4210526315686707E-5</v>
      </c>
      <c r="C5" s="3">
        <v>-6.8367606331026787E-3</v>
      </c>
      <c r="D5" s="3">
        <v>1.4707427250761906E-3</v>
      </c>
    </row>
    <row r="6" spans="1:4" x14ac:dyDescent="0.35">
      <c r="A6" s="5">
        <v>44547</v>
      </c>
      <c r="B6" s="3">
        <v>-0.21179473684210537</v>
      </c>
      <c r="C6" s="3">
        <v>4.7830566073077119E-3</v>
      </c>
      <c r="D6" s="3">
        <v>-8.7194032986658287E-3</v>
      </c>
    </row>
    <row r="7" spans="1:4" x14ac:dyDescent="0.35">
      <c r="A7" s="5">
        <v>44550</v>
      </c>
      <c r="B7" s="3">
        <v>-0.14659824561403523</v>
      </c>
      <c r="C7" s="3">
        <v>-6.4220060741460028E-4</v>
      </c>
      <c r="D7" s="3">
        <v>-1.8804496270616533E-2</v>
      </c>
    </row>
    <row r="8" spans="1:4" x14ac:dyDescent="0.35">
      <c r="A8" s="5">
        <v>44551</v>
      </c>
      <c r="B8" s="3">
        <v>-0.19679649122807019</v>
      </c>
      <c r="C8" s="3">
        <v>-1.5185368529494481E-3</v>
      </c>
      <c r="D8" s="3">
        <v>-1.4497321147179276E-2</v>
      </c>
    </row>
    <row r="9" spans="1:4" x14ac:dyDescent="0.35">
      <c r="A9" s="5">
        <v>44552</v>
      </c>
      <c r="B9" s="3">
        <v>-0.17331052631578947</v>
      </c>
      <c r="C9" s="3">
        <v>3.6525159546714203E-3</v>
      </c>
      <c r="D9" s="3">
        <v>-1.2396260111356194E-2</v>
      </c>
    </row>
    <row r="10" spans="1:4" x14ac:dyDescent="0.35">
      <c r="A10" s="5">
        <v>44553</v>
      </c>
      <c r="B10" s="3">
        <v>-0.16670350877192985</v>
      </c>
      <c r="C10" s="3">
        <v>1.4422755308189483E-2</v>
      </c>
      <c r="D10" s="3">
        <v>-3.7819098644815696E-3</v>
      </c>
    </row>
    <row r="11" spans="1:4" x14ac:dyDescent="0.35">
      <c r="A11" s="5">
        <v>44554</v>
      </c>
      <c r="B11" s="3">
        <v>-0.16141715827000525</v>
      </c>
      <c r="C11" s="3">
        <v>1.4442824077171235E-2</v>
      </c>
      <c r="D11" s="3">
        <v>-3.1515915537345673E-3</v>
      </c>
    </row>
    <row r="12" spans="1:4" x14ac:dyDescent="0.35">
      <c r="A12" s="5">
        <v>44557</v>
      </c>
      <c r="B12" s="3">
        <v>-0.14593217593800123</v>
      </c>
      <c r="C12" s="3">
        <v>2.6122847624526768E-2</v>
      </c>
      <c r="D12" s="3">
        <v>4.2021220716459418E-4</v>
      </c>
    </row>
    <row r="13" spans="1:4" x14ac:dyDescent="0.35">
      <c r="A13" s="5">
        <v>44558</v>
      </c>
      <c r="B13" s="3">
        <v>-0.13348665996184472</v>
      </c>
      <c r="C13" s="3">
        <v>3.0123222241547731E-2</v>
      </c>
      <c r="D13" s="3">
        <v>1.6283223027628857E-2</v>
      </c>
    </row>
    <row r="14" spans="1:4" x14ac:dyDescent="0.35">
      <c r="A14" s="5">
        <v>44559</v>
      </c>
      <c r="B14" s="3">
        <v>-0.12709044745589615</v>
      </c>
      <c r="C14" s="3">
        <v>3.3568360916741424E-2</v>
      </c>
      <c r="D14" s="3">
        <v>1.6913541338375859E-2</v>
      </c>
    </row>
    <row r="15" spans="1:4" x14ac:dyDescent="0.35">
      <c r="A15" s="5">
        <v>44560</v>
      </c>
      <c r="B15" s="3">
        <v>-0.13000028588023904</v>
      </c>
      <c r="C15" s="3">
        <v>3.2611749595279793E-2</v>
      </c>
      <c r="D15" s="3">
        <v>1.7018594390167063E-2</v>
      </c>
    </row>
    <row r="16" spans="1:4" x14ac:dyDescent="0.35">
      <c r="A16" s="5">
        <v>44561</v>
      </c>
      <c r="B16" s="3">
        <v>-0.12105064366984575</v>
      </c>
      <c r="C16" s="3">
        <v>4.8613248063363868E-2</v>
      </c>
      <c r="D16" s="3">
        <v>1.491753335434387E-2</v>
      </c>
    </row>
    <row r="17" spans="1:4" x14ac:dyDescent="0.35">
      <c r="A17" s="5">
        <v>44564</v>
      </c>
      <c r="B17" s="3">
        <v>-0.13768067465320766</v>
      </c>
      <c r="C17" s="3">
        <v>3.625088637063012E-2</v>
      </c>
      <c r="D17" s="3">
        <v>2.39520958083832E-2</v>
      </c>
    </row>
    <row r="18" spans="1:4" x14ac:dyDescent="0.35">
      <c r="A18" s="5">
        <v>44565</v>
      </c>
      <c r="B18" s="3">
        <v>-0.13543407444624977</v>
      </c>
      <c r="C18" s="3">
        <v>3.1467829763322408E-2</v>
      </c>
      <c r="D18" s="3">
        <v>2.7103687362117768E-2</v>
      </c>
    </row>
    <row r="19" spans="1:4" x14ac:dyDescent="0.35">
      <c r="A19" s="5">
        <v>44566</v>
      </c>
      <c r="B19" s="3">
        <v>-0.11083499142944875</v>
      </c>
      <c r="C19" s="3">
        <v>3.551503150796731E-2</v>
      </c>
      <c r="D19" s="3">
        <v>2.6263262947788579E-2</v>
      </c>
    </row>
    <row r="20" spans="1:4" x14ac:dyDescent="0.35">
      <c r="A20" s="5">
        <v>44567</v>
      </c>
      <c r="B20" s="3">
        <v>-0.11724051322249662</v>
      </c>
      <c r="C20" s="3">
        <v>2.5754920193195252E-2</v>
      </c>
      <c r="D20" s="3">
        <v>1.2186154007773897E-2</v>
      </c>
    </row>
    <row r="21" spans="1:4" x14ac:dyDescent="0.35">
      <c r="A21" s="5">
        <v>44568</v>
      </c>
      <c r="B21" s="3">
        <v>-0.1031643671996586</v>
      </c>
      <c r="C21" s="3">
        <v>3.2277270112251344E-2</v>
      </c>
      <c r="D21" s="3">
        <v>1.0295199075533112E-2</v>
      </c>
    </row>
    <row r="22" spans="1:4" x14ac:dyDescent="0.35">
      <c r="A22" s="5">
        <v>44571</v>
      </c>
      <c r="B22" s="3">
        <v>-8.509724680217623E-2</v>
      </c>
      <c r="C22" s="3">
        <v>3.7000120412614024E-2</v>
      </c>
      <c r="D22" s="3">
        <v>-2.0485345099275132E-2</v>
      </c>
    </row>
    <row r="23" spans="1:4" x14ac:dyDescent="0.35">
      <c r="A23" s="5">
        <v>44572</v>
      </c>
      <c r="B23" s="3">
        <v>-8.678616251609883E-2</v>
      </c>
      <c r="C23" s="3">
        <v>4.6445821013339161E-2</v>
      </c>
      <c r="D23" s="3">
        <v>-4.7694085513184103E-2</v>
      </c>
    </row>
    <row r="24" spans="1:4" x14ac:dyDescent="0.35">
      <c r="A24" s="5">
        <v>44573</v>
      </c>
      <c r="B24" s="3">
        <v>-8.9346470014878276E-2</v>
      </c>
      <c r="C24" s="3">
        <v>4.5716655740337009E-2</v>
      </c>
      <c r="D24" s="3">
        <v>-4.202122071646186E-2</v>
      </c>
    </row>
    <row r="25" spans="1:4" x14ac:dyDescent="0.35">
      <c r="A25" s="5">
        <v>44574</v>
      </c>
      <c r="B25" s="3">
        <v>-9.4837030433826408E-2</v>
      </c>
      <c r="C25" s="3">
        <v>4.9937786816156793E-2</v>
      </c>
      <c r="D25" s="3">
        <v>-6.5342998214098058E-2</v>
      </c>
    </row>
    <row r="26" spans="1:4" x14ac:dyDescent="0.35">
      <c r="A26" s="5">
        <v>44575</v>
      </c>
      <c r="B26" s="3">
        <v>-0.10310020107731921</v>
      </c>
      <c r="C26" s="3">
        <v>4.0451948677468152E-2</v>
      </c>
      <c r="D26" s="3">
        <v>-0.12658892740834116</v>
      </c>
    </row>
    <row r="27" spans="1:4" x14ac:dyDescent="0.35">
      <c r="A27" s="5">
        <v>44578</v>
      </c>
      <c r="B27" s="3">
        <v>-0.11058228781184032</v>
      </c>
      <c r="C27" s="3">
        <v>3.2150167908700622E-2</v>
      </c>
      <c r="D27" s="3">
        <v>-0.1222817522849039</v>
      </c>
    </row>
    <row r="28" spans="1:4" x14ac:dyDescent="0.35">
      <c r="A28" s="5">
        <v>44579</v>
      </c>
      <c r="B28" s="3">
        <v>-0.11060640382401477</v>
      </c>
      <c r="C28" s="3">
        <v>3.2150167908700622E-2</v>
      </c>
      <c r="D28" s="3">
        <v>-0.1222817522849039</v>
      </c>
    </row>
    <row r="29" spans="1:4" x14ac:dyDescent="0.35">
      <c r="A29" s="5">
        <v>44580</v>
      </c>
      <c r="B29" s="3">
        <v>-0.11859976567749986</v>
      </c>
      <c r="C29" s="3">
        <v>2.3727974526042583E-2</v>
      </c>
      <c r="D29" s="3">
        <v>-0.1571593654795671</v>
      </c>
    </row>
    <row r="30" spans="1:4" x14ac:dyDescent="0.35">
      <c r="A30" s="5">
        <v>44581</v>
      </c>
      <c r="B30" s="3">
        <v>-0.12437883914041437</v>
      </c>
      <c r="C30" s="3">
        <v>2.2002060393615519E-2</v>
      </c>
      <c r="D30" s="3">
        <v>-0.14119130160731164</v>
      </c>
    </row>
    <row r="31" spans="1:4" x14ac:dyDescent="0.35">
      <c r="A31" s="5">
        <v>44582</v>
      </c>
      <c r="B31" s="3">
        <v>-0.1253001804237186</v>
      </c>
      <c r="C31" s="3">
        <v>2.1540478707036126E-2</v>
      </c>
      <c r="D31" s="3">
        <v>-0.15505830444374402</v>
      </c>
    </row>
    <row r="32" spans="1:4" x14ac:dyDescent="0.35">
      <c r="A32" s="5">
        <v>44585</v>
      </c>
      <c r="B32" s="3">
        <v>-0.14092845249518537</v>
      </c>
      <c r="C32" s="3">
        <v>1.8061892083539588E-2</v>
      </c>
      <c r="D32" s="3">
        <v>-0.15778968379031411</v>
      </c>
    </row>
    <row r="33" spans="1:4" x14ac:dyDescent="0.35">
      <c r="A33" s="5">
        <v>44586</v>
      </c>
      <c r="B33" s="3">
        <v>-0.14405241442986716</v>
      </c>
      <c r="C33" s="3">
        <v>9.3988734731011991E-3</v>
      </c>
      <c r="D33" s="3">
        <v>-0.16829498896942952</v>
      </c>
    </row>
    <row r="34" spans="1:4" x14ac:dyDescent="0.35">
      <c r="A34" s="5">
        <v>44587</v>
      </c>
      <c r="B34" s="3">
        <v>-0.14156568823446791</v>
      </c>
      <c r="C34" s="3">
        <v>1.3981242390591841E-2</v>
      </c>
      <c r="D34" s="3">
        <v>-0.14822985607731909</v>
      </c>
    </row>
    <row r="35" spans="1:4" x14ac:dyDescent="0.35">
      <c r="A35" s="5">
        <v>44588</v>
      </c>
      <c r="B35" s="3">
        <v>-0.14391611510706637</v>
      </c>
      <c r="C35" s="3">
        <v>1.4135102952784973E-2</v>
      </c>
      <c r="D35" s="3">
        <v>-0.16073116924046638</v>
      </c>
    </row>
    <row r="36" spans="1:4" x14ac:dyDescent="0.35">
      <c r="A36" s="5">
        <v>44589</v>
      </c>
      <c r="B36" s="3">
        <v>-0.14871751742980766</v>
      </c>
      <c r="C36" s="3">
        <v>1.6831007585994762E-2</v>
      </c>
      <c r="D36" s="3">
        <v>-0.15558356970269993</v>
      </c>
    </row>
    <row r="37" spans="1:4" x14ac:dyDescent="0.35">
      <c r="A37" s="5">
        <v>44592</v>
      </c>
      <c r="B37" s="3">
        <v>-0.14687606579477908</v>
      </c>
      <c r="C37" s="3">
        <v>1.1646575599052911E-2</v>
      </c>
      <c r="D37" s="3">
        <v>-0.14056098329656475</v>
      </c>
    </row>
    <row r="38" spans="1:4" x14ac:dyDescent="0.35">
      <c r="A38" s="5">
        <v>44593</v>
      </c>
      <c r="B38" s="3">
        <v>-0.14689953971206315</v>
      </c>
      <c r="C38" s="3">
        <v>1.1646575599052911E-2</v>
      </c>
      <c r="D38" s="3">
        <v>-0.14056098329656475</v>
      </c>
    </row>
    <row r="39" spans="1:4" x14ac:dyDescent="0.35">
      <c r="A39" s="5">
        <v>44594</v>
      </c>
      <c r="B39" s="3">
        <v>-0.14692301362934745</v>
      </c>
      <c r="C39" s="3">
        <v>1.1646575599052911E-2</v>
      </c>
      <c r="D39" s="3">
        <v>-0.14056098329656475</v>
      </c>
    </row>
    <row r="40" spans="1:4" x14ac:dyDescent="0.35">
      <c r="A40" s="5">
        <v>44595</v>
      </c>
      <c r="B40" s="3">
        <v>-0.14039423573179866</v>
      </c>
      <c r="C40" s="3">
        <v>2.0650763282180407E-2</v>
      </c>
      <c r="D40" s="3">
        <v>-0.14171656686626743</v>
      </c>
    </row>
    <row r="41" spans="1:4" x14ac:dyDescent="0.35">
      <c r="A41" s="5">
        <v>44596</v>
      </c>
      <c r="B41" s="3">
        <v>-0.13985714037213126</v>
      </c>
      <c r="C41" s="3">
        <v>1.8663955152991019E-2</v>
      </c>
      <c r="D41" s="3">
        <v>-0.14392268095388172</v>
      </c>
    </row>
    <row r="42" spans="1:4" x14ac:dyDescent="0.35">
      <c r="A42" s="5">
        <v>44599</v>
      </c>
      <c r="B42" s="3">
        <v>-0.12834728920698901</v>
      </c>
      <c r="C42" s="3">
        <v>2.3942041395180969E-2</v>
      </c>
      <c r="D42" s="3">
        <v>-0.13373253493013981</v>
      </c>
    </row>
    <row r="43" spans="1:4" x14ac:dyDescent="0.35">
      <c r="A43" s="5">
        <v>44600</v>
      </c>
      <c r="B43" s="3">
        <v>-0.13451760562821247</v>
      </c>
      <c r="C43" s="3">
        <v>2.3567424374188795E-2</v>
      </c>
      <c r="D43" s="3">
        <v>-0.13131631473894312</v>
      </c>
    </row>
    <row r="44" spans="1:4" x14ac:dyDescent="0.35">
      <c r="A44" s="5">
        <v>44601</v>
      </c>
      <c r="B44" s="3">
        <v>-0.13358074845569146</v>
      </c>
      <c r="C44" s="3">
        <v>3.7896525427130401E-2</v>
      </c>
      <c r="D44" s="3">
        <v>-0.1225969114402774</v>
      </c>
    </row>
    <row r="45" spans="1:4" x14ac:dyDescent="0.35">
      <c r="A45" s="5">
        <v>44602</v>
      </c>
      <c r="B45" s="3">
        <v>-0.12833025214484617</v>
      </c>
      <c r="C45" s="3">
        <v>5.0332472606130274E-2</v>
      </c>
      <c r="D45" s="3">
        <v>-0.11104107574325028</v>
      </c>
    </row>
    <row r="46" spans="1:4" x14ac:dyDescent="0.35">
      <c r="A46" s="5">
        <v>44603</v>
      </c>
      <c r="B46" s="3">
        <v>-0.13081911318045425</v>
      </c>
      <c r="C46" s="3">
        <v>5.6212621917771655E-2</v>
      </c>
      <c r="D46" s="3">
        <v>-0.11881500157579583</v>
      </c>
    </row>
    <row r="47" spans="1:4" x14ac:dyDescent="0.35">
      <c r="A47" s="5">
        <v>44606</v>
      </c>
      <c r="B47" s="3">
        <v>-0.13511372155787416</v>
      </c>
      <c r="C47" s="3">
        <v>5.9523968799753746E-2</v>
      </c>
      <c r="D47" s="3">
        <v>-0.14108624855552043</v>
      </c>
    </row>
    <row r="48" spans="1:4" x14ac:dyDescent="0.35">
      <c r="A48" s="5">
        <v>44607</v>
      </c>
      <c r="B48" s="3">
        <v>-0.13231511223287973</v>
      </c>
      <c r="C48" s="3">
        <v>7.0073451694472988E-2</v>
      </c>
      <c r="D48" s="3">
        <v>-0.14171656686626743</v>
      </c>
    </row>
    <row r="49" spans="1:4" x14ac:dyDescent="0.35">
      <c r="A49" s="5">
        <v>44608</v>
      </c>
      <c r="B49" s="3">
        <v>-0.12927580909378045</v>
      </c>
      <c r="C49" s="3">
        <v>7.2475014382617831E-2</v>
      </c>
      <c r="D49" s="3">
        <v>-0.12932030675491124</v>
      </c>
    </row>
    <row r="50" spans="1:4" x14ac:dyDescent="0.35">
      <c r="A50" s="5">
        <v>44609</v>
      </c>
      <c r="B50" s="3">
        <v>-0.12950435946997485</v>
      </c>
      <c r="C50" s="3">
        <v>7.3692519700841563E-2</v>
      </c>
      <c r="D50" s="3">
        <v>-0.13383758798193079</v>
      </c>
    </row>
    <row r="51" spans="1:4" x14ac:dyDescent="0.35">
      <c r="A51" s="5">
        <v>44610</v>
      </c>
      <c r="B51" s="3">
        <v>-0.13083397529849372</v>
      </c>
      <c r="C51" s="3">
        <v>7.2374670537709296E-2</v>
      </c>
      <c r="D51" s="3">
        <v>-0.15190671289000934</v>
      </c>
    </row>
    <row r="52" spans="1:4" x14ac:dyDescent="0.35">
      <c r="A52" s="5">
        <v>44613</v>
      </c>
      <c r="B52" s="3">
        <v>-0.13804355251043776</v>
      </c>
      <c r="C52" s="3">
        <v>5.8754665988788313E-2</v>
      </c>
      <c r="D52" s="3">
        <v>-0.1830024162201912</v>
      </c>
    </row>
    <row r="53" spans="1:4" x14ac:dyDescent="0.35">
      <c r="A53" s="5">
        <v>44614</v>
      </c>
      <c r="B53" s="3">
        <v>-0.14136577962831542</v>
      </c>
      <c r="C53" s="3">
        <v>5.4921531113281574E-2</v>
      </c>
      <c r="D53" s="3">
        <v>-0.20958083832335328</v>
      </c>
    </row>
    <row r="54" spans="1:4" x14ac:dyDescent="0.35">
      <c r="A54" s="5">
        <v>44615</v>
      </c>
      <c r="B54" s="3">
        <v>-0.13517262629400661</v>
      </c>
      <c r="C54" s="3">
        <v>6.1062574421685056E-2</v>
      </c>
      <c r="D54" s="3">
        <v>-0.17669923311272184</v>
      </c>
    </row>
    <row r="55" spans="1:4" x14ac:dyDescent="0.35">
      <c r="A55" s="5">
        <v>44616</v>
      </c>
      <c r="B55" s="3">
        <v>-0.14101434491028131</v>
      </c>
      <c r="C55" s="3">
        <v>5.2867827087486496E-2</v>
      </c>
      <c r="D55" s="3">
        <v>-0.1952936232797563</v>
      </c>
    </row>
    <row r="56" spans="1:4" x14ac:dyDescent="0.35">
      <c r="A56" s="5">
        <v>44617</v>
      </c>
      <c r="B56" s="3">
        <v>-0.130525314481159</v>
      </c>
      <c r="C56" s="3">
        <v>6.479536545228326E-2</v>
      </c>
      <c r="D56" s="3">
        <v>-0.17669923311272184</v>
      </c>
    </row>
    <row r="57" spans="1:4" x14ac:dyDescent="0.35">
      <c r="A57" s="5">
        <v>44620</v>
      </c>
      <c r="B57" s="3">
        <v>-0.12517549572292697</v>
      </c>
      <c r="C57" s="3">
        <v>7.5873325930187585E-2</v>
      </c>
      <c r="D57" s="3">
        <v>-0.18594390167034358</v>
      </c>
    </row>
    <row r="58" spans="1:4" x14ac:dyDescent="0.35">
      <c r="A58" s="5">
        <v>44621</v>
      </c>
      <c r="B58" s="3">
        <v>-0.12658195957643104</v>
      </c>
      <c r="C58" s="3">
        <v>6.7952851772072442E-2</v>
      </c>
      <c r="D58" s="3">
        <v>-0.18688937913646386</v>
      </c>
    </row>
    <row r="59" spans="1:4" x14ac:dyDescent="0.35">
      <c r="A59" s="5">
        <v>44622</v>
      </c>
      <c r="B59" s="3">
        <v>-0.12950580943271039</v>
      </c>
      <c r="C59" s="3">
        <v>6.9063323655726983E-2</v>
      </c>
      <c r="D59" s="3">
        <v>-0.20380292047483972</v>
      </c>
    </row>
    <row r="60" spans="1:4" x14ac:dyDescent="0.35">
      <c r="A60" s="5">
        <v>44623</v>
      </c>
      <c r="B60" s="3">
        <v>-0.12386545439133823</v>
      </c>
      <c r="C60" s="3">
        <v>8.2736844921932562E-2</v>
      </c>
      <c r="D60" s="3">
        <v>-0.2196659312953041</v>
      </c>
    </row>
    <row r="61" spans="1:4" x14ac:dyDescent="0.35">
      <c r="A61" s="5">
        <v>44624</v>
      </c>
      <c r="B61" s="3">
        <v>-0.12351202597454281</v>
      </c>
      <c r="C61" s="3">
        <v>7.2970044017500069E-2</v>
      </c>
      <c r="D61" s="3">
        <v>-0.24676961865742197</v>
      </c>
    </row>
    <row r="62" spans="1:4" x14ac:dyDescent="0.35">
      <c r="A62" s="5">
        <v>44627</v>
      </c>
      <c r="B62" s="3">
        <v>-0.14879502619469853</v>
      </c>
      <c r="C62" s="3">
        <v>5.1978111662630555E-2</v>
      </c>
      <c r="D62" s="3">
        <v>-0.29498896942956188</v>
      </c>
    </row>
    <row r="63" spans="1:4" x14ac:dyDescent="0.35">
      <c r="A63" s="5">
        <v>44628</v>
      </c>
      <c r="B63" s="3">
        <v>-0.1675048015984838</v>
      </c>
      <c r="C63" s="3">
        <v>3.4792555824625815E-2</v>
      </c>
      <c r="D63" s="3">
        <v>-0.33743040235318833</v>
      </c>
    </row>
    <row r="64" spans="1:4" x14ac:dyDescent="0.35">
      <c r="A64" s="5">
        <v>44629</v>
      </c>
      <c r="B64" s="3">
        <v>-0.15054494997119094</v>
      </c>
      <c r="C64" s="3">
        <v>4.513466143986733E-2</v>
      </c>
      <c r="D64" s="3">
        <v>-0.28343313373253498</v>
      </c>
    </row>
    <row r="65" spans="1:4" x14ac:dyDescent="0.35">
      <c r="A65" s="5">
        <v>44630</v>
      </c>
      <c r="B65" s="3">
        <v>-0.12932619529884148</v>
      </c>
      <c r="C65" s="3">
        <v>5.7309714622105101E-2</v>
      </c>
      <c r="D65" s="3">
        <v>-0.26294778863325985</v>
      </c>
    </row>
    <row r="66" spans="1:4" x14ac:dyDescent="0.35">
      <c r="A66" s="5">
        <v>44631</v>
      </c>
      <c r="B66" s="3">
        <v>-0.12626169905721163</v>
      </c>
      <c r="C66" s="3">
        <v>4.9074829749943261E-2</v>
      </c>
      <c r="D66" s="3">
        <v>-0.24855552053787155</v>
      </c>
    </row>
    <row r="67" spans="1:4" x14ac:dyDescent="0.35">
      <c r="A67" s="5">
        <v>44634</v>
      </c>
      <c r="B67" s="3">
        <v>-0.12566286444742081</v>
      </c>
      <c r="C67" s="3">
        <v>4.8553041756418835E-2</v>
      </c>
      <c r="D67" s="3">
        <v>-0.26168715201176596</v>
      </c>
    </row>
    <row r="68" spans="1:4" x14ac:dyDescent="0.35">
      <c r="A68" s="5">
        <v>44635</v>
      </c>
      <c r="B68" s="3">
        <v>-0.13900832146561848</v>
      </c>
      <c r="C68" s="3">
        <v>4.1843383326866768E-2</v>
      </c>
      <c r="D68" s="3">
        <v>-0.28732009664880764</v>
      </c>
    </row>
    <row r="69" spans="1:4" x14ac:dyDescent="0.35">
      <c r="A69" s="5">
        <v>44636</v>
      </c>
      <c r="B69" s="3">
        <v>-0.11811617089945636</v>
      </c>
      <c r="C69" s="3">
        <v>5.1148602544719868E-2</v>
      </c>
      <c r="D69" s="3">
        <v>-0.25097174072906814</v>
      </c>
    </row>
    <row r="70" spans="1:4" x14ac:dyDescent="0.35">
      <c r="A70" s="5">
        <v>44637</v>
      </c>
      <c r="B70" s="3">
        <v>-9.9255780616513523E-2</v>
      </c>
      <c r="C70" s="3">
        <v>6.4233439920795332E-2</v>
      </c>
      <c r="D70" s="3">
        <v>-0.21535875617186684</v>
      </c>
    </row>
    <row r="71" spans="1:4" x14ac:dyDescent="0.35">
      <c r="A71" s="5">
        <v>44638</v>
      </c>
      <c r="B71" s="3">
        <v>-0.10453654489946396</v>
      </c>
      <c r="C71" s="3">
        <v>6.4487644327896998E-2</v>
      </c>
      <c r="D71" s="3">
        <v>-0.23353293413173659</v>
      </c>
    </row>
    <row r="72" spans="1:4" x14ac:dyDescent="0.35">
      <c r="A72" s="5">
        <v>44641</v>
      </c>
      <c r="B72" s="3">
        <v>-0.10065880080852052</v>
      </c>
      <c r="C72" s="3">
        <v>6.174491256706327E-2</v>
      </c>
      <c r="D72" s="3">
        <v>-0.20516861014812482</v>
      </c>
    </row>
    <row r="73" spans="1:4" x14ac:dyDescent="0.35">
      <c r="A73" s="5">
        <v>44642</v>
      </c>
      <c r="B73" s="3">
        <v>-0.10556184979885475</v>
      </c>
      <c r="C73" s="3">
        <v>6.0841817962886235E-2</v>
      </c>
      <c r="D73" s="3">
        <v>-0.1958188885387121</v>
      </c>
    </row>
    <row r="74" spans="1:4" x14ac:dyDescent="0.35">
      <c r="A74" s="5">
        <v>44643</v>
      </c>
      <c r="B74" s="3">
        <v>-9.4639099266454751E-2</v>
      </c>
      <c r="C74" s="3">
        <v>6.8916152683194509E-2</v>
      </c>
      <c r="D74" s="3">
        <v>-0.17207689883391108</v>
      </c>
    </row>
    <row r="75" spans="1:4" x14ac:dyDescent="0.35">
      <c r="A75" s="5">
        <v>44644</v>
      </c>
      <c r="B75" s="3">
        <v>-9.7001994789409962E-2</v>
      </c>
      <c r="C75" s="3">
        <v>6.9645317956196662E-2</v>
      </c>
      <c r="D75" s="3">
        <v>-0.17648912700913955</v>
      </c>
    </row>
    <row r="76" spans="1:4" x14ac:dyDescent="0.35">
      <c r="A76" s="5">
        <v>44645</v>
      </c>
      <c r="B76" s="3">
        <v>-9.5112512099618685E-2</v>
      </c>
      <c r="C76" s="3">
        <v>7.254191027922352E-2</v>
      </c>
      <c r="D76" s="3">
        <v>-0.16535350351927713</v>
      </c>
    </row>
    <row r="77" spans="1:4" x14ac:dyDescent="0.35">
      <c r="A77" s="5">
        <v>44648</v>
      </c>
      <c r="B77" s="3">
        <v>-0.10037062071482583</v>
      </c>
      <c r="C77" s="3">
        <v>6.8962979810818448E-2</v>
      </c>
      <c r="D77" s="3">
        <v>-0.18636411387750806</v>
      </c>
    </row>
    <row r="78" spans="1:4" x14ac:dyDescent="0.35">
      <c r="A78" s="5">
        <v>44649</v>
      </c>
      <c r="B78" s="3">
        <v>-0.10541576605324599</v>
      </c>
      <c r="C78" s="3">
        <v>5.9243006034009893E-2</v>
      </c>
      <c r="D78" s="3">
        <v>-0.19823510872990868</v>
      </c>
    </row>
    <row r="79" spans="1:4" x14ac:dyDescent="0.35">
      <c r="A79" s="5">
        <v>44650</v>
      </c>
      <c r="B79" s="3">
        <v>-9.8571941941349772E-2</v>
      </c>
      <c r="C79" s="3">
        <v>5.9109214240798513E-2</v>
      </c>
      <c r="D79" s="3">
        <v>-0.18793990965437546</v>
      </c>
    </row>
    <row r="80" spans="1:4" x14ac:dyDescent="0.35">
      <c r="A80" s="5">
        <v>44651</v>
      </c>
      <c r="B80" s="3">
        <v>-8.3226986310799389E-2</v>
      </c>
      <c r="C80" s="3">
        <v>6.187870436027465E-2</v>
      </c>
      <c r="D80" s="3">
        <v>-0.18699443218825507</v>
      </c>
    </row>
    <row r="81" spans="1:4" x14ac:dyDescent="0.35">
      <c r="A81" s="5">
        <v>44652</v>
      </c>
      <c r="B81" s="3">
        <v>-8.3520603764752566E-2</v>
      </c>
      <c r="C81" s="3">
        <v>7.1946536799432748E-2</v>
      </c>
      <c r="D81" s="3">
        <v>-0.18667927303288157</v>
      </c>
    </row>
    <row r="82" spans="1:4" x14ac:dyDescent="0.35">
      <c r="A82" s="5">
        <v>44655</v>
      </c>
      <c r="B82" s="3">
        <v>-7.7162154678588779E-2</v>
      </c>
      <c r="C82" s="3">
        <v>6.9611870007893817E-2</v>
      </c>
      <c r="D82" s="3">
        <v>-0.18657421998109036</v>
      </c>
    </row>
    <row r="83" spans="1:4" x14ac:dyDescent="0.35">
      <c r="A83" s="5">
        <v>44656</v>
      </c>
      <c r="B83" s="3">
        <v>-8.6122924384418931E-2</v>
      </c>
      <c r="C83" s="3">
        <v>6.8186987410192357E-2</v>
      </c>
      <c r="D83" s="3">
        <v>-0.1707112091606261</v>
      </c>
    </row>
    <row r="84" spans="1:4" x14ac:dyDescent="0.35">
      <c r="A84" s="5">
        <v>44657</v>
      </c>
      <c r="B84" s="3">
        <v>-8.5223766243022969E-2</v>
      </c>
      <c r="C84" s="3">
        <v>7.3491832011024494E-2</v>
      </c>
      <c r="D84" s="3">
        <v>-0.18100640823615932</v>
      </c>
    </row>
    <row r="85" spans="1:4" x14ac:dyDescent="0.35">
      <c r="A85" s="5">
        <v>44658</v>
      </c>
      <c r="B85" s="3">
        <v>-9.057385326045353E-2</v>
      </c>
      <c r="C85" s="3">
        <v>7.0862823274420395E-2</v>
      </c>
      <c r="D85" s="3">
        <v>-0.19781489652274398</v>
      </c>
    </row>
    <row r="86" spans="1:4" x14ac:dyDescent="0.35">
      <c r="A86" s="5">
        <v>44659</v>
      </c>
      <c r="B86" s="3">
        <v>-8.9903106919647646E-2</v>
      </c>
      <c r="C86" s="3">
        <v>7.5211056553791122E-2</v>
      </c>
      <c r="D86" s="3">
        <v>-0.1949784641243828</v>
      </c>
    </row>
    <row r="87" spans="1:4" x14ac:dyDescent="0.35">
      <c r="A87" s="5">
        <v>44662</v>
      </c>
      <c r="B87" s="3">
        <v>-9.9739161939656262E-2</v>
      </c>
      <c r="C87" s="3">
        <v>7.3418246524758146E-2</v>
      </c>
      <c r="D87" s="3">
        <v>-0.23363798718352768</v>
      </c>
    </row>
    <row r="88" spans="1:4" x14ac:dyDescent="0.35">
      <c r="A88" s="5">
        <v>44663</v>
      </c>
      <c r="B88" s="3">
        <v>-9.8766151959350235E-2</v>
      </c>
      <c r="C88" s="3">
        <v>6.8414433458651835E-2</v>
      </c>
      <c r="D88" s="3">
        <v>-0.24004622334278802</v>
      </c>
    </row>
    <row r="89" spans="1:4" x14ac:dyDescent="0.35">
      <c r="A89" s="5">
        <v>44664</v>
      </c>
      <c r="B89" s="3">
        <v>-0.10069602463518734</v>
      </c>
      <c r="C89" s="3">
        <v>6.844788140695468E-2</v>
      </c>
      <c r="D89" s="3">
        <v>-0.22975102426725502</v>
      </c>
    </row>
    <row r="90" spans="1:4" x14ac:dyDescent="0.35">
      <c r="A90" s="5">
        <v>44665</v>
      </c>
      <c r="B90" s="3">
        <v>-9.7545852662774268E-2</v>
      </c>
      <c r="C90" s="3">
        <v>6.7457822137190204E-2</v>
      </c>
      <c r="D90" s="3">
        <v>-0.23699968484084466</v>
      </c>
    </row>
    <row r="91" spans="1:4" x14ac:dyDescent="0.35">
      <c r="A91" s="5">
        <v>44666</v>
      </c>
      <c r="B91" s="3">
        <v>-9.7334849379705823E-2</v>
      </c>
      <c r="C91" s="3">
        <v>6.2982486654268754E-2</v>
      </c>
      <c r="D91" s="3">
        <v>-0.23899569282487654</v>
      </c>
    </row>
    <row r="92" spans="1:4" x14ac:dyDescent="0.35">
      <c r="A92" s="5">
        <v>44669</v>
      </c>
      <c r="B92" s="3">
        <v>-9.8243995941576623E-2</v>
      </c>
      <c r="C92" s="3">
        <v>5.7717779591399898E-2</v>
      </c>
      <c r="D92" s="3">
        <v>-0.24256749658577581</v>
      </c>
    </row>
    <row r="93" spans="1:4" x14ac:dyDescent="0.35">
      <c r="A93" s="5">
        <v>44670</v>
      </c>
      <c r="B93" s="3">
        <v>-9.8268917739967487E-2</v>
      </c>
      <c r="C93" s="3">
        <v>5.7717779591399898E-2</v>
      </c>
      <c r="D93" s="3">
        <v>-0.24256749658577581</v>
      </c>
    </row>
    <row r="94" spans="1:4" x14ac:dyDescent="0.35">
      <c r="A94" s="5">
        <v>44671</v>
      </c>
      <c r="B94" s="3">
        <v>-9.3777707587540893E-2</v>
      </c>
      <c r="C94" s="3">
        <v>6.615335215337903E-2</v>
      </c>
      <c r="D94" s="3">
        <v>-0.2325874566656162</v>
      </c>
    </row>
    <row r="95" spans="1:4" x14ac:dyDescent="0.35">
      <c r="A95" s="5">
        <v>44672</v>
      </c>
      <c r="B95" s="3">
        <v>-9.1161641085576339E-2</v>
      </c>
      <c r="C95" s="3">
        <v>6.9210494628259456E-2</v>
      </c>
      <c r="D95" s="3">
        <v>-0.22712469797247614</v>
      </c>
    </row>
    <row r="96" spans="1:4" x14ac:dyDescent="0.35">
      <c r="A96" s="5">
        <v>44673</v>
      </c>
      <c r="B96" s="3">
        <v>-9.73749770398884E-2</v>
      </c>
      <c r="C96" s="3">
        <v>7.1652194854367801E-2</v>
      </c>
      <c r="D96" s="3">
        <v>-0.24540392898413699</v>
      </c>
    </row>
    <row r="97" spans="1:4" x14ac:dyDescent="0.35">
      <c r="A97" s="5">
        <v>44676</v>
      </c>
      <c r="B97" s="3">
        <v>-9.8276301085351458E-2</v>
      </c>
      <c r="C97" s="3">
        <v>6.3631376851344124E-2</v>
      </c>
      <c r="D97" s="3">
        <v>-0.26567916797982971</v>
      </c>
    </row>
    <row r="98" spans="1:4" x14ac:dyDescent="0.35">
      <c r="A98" s="5">
        <v>44677</v>
      </c>
      <c r="B98" s="3">
        <v>-9.8487585320082394E-2</v>
      </c>
      <c r="C98" s="3">
        <v>6.8113401923926009E-2</v>
      </c>
      <c r="D98" s="3">
        <v>-0.25822040130265778</v>
      </c>
    </row>
    <row r="99" spans="1:4" x14ac:dyDescent="0.35">
      <c r="A99" s="5">
        <v>44678</v>
      </c>
      <c r="B99" s="3">
        <v>-0.10179511572994981</v>
      </c>
      <c r="C99" s="3">
        <v>6.0955540987115864E-2</v>
      </c>
      <c r="D99" s="3">
        <v>-0.26767517596386181</v>
      </c>
    </row>
    <row r="100" spans="1:4" x14ac:dyDescent="0.35">
      <c r="A100" s="5">
        <v>44679</v>
      </c>
      <c r="B100" s="3">
        <v>-9.8112270984000993E-2</v>
      </c>
      <c r="C100" s="3">
        <v>6.85348460725419E-2</v>
      </c>
      <c r="D100" s="3">
        <v>-0.25296774871310013</v>
      </c>
    </row>
    <row r="101" spans="1:4" x14ac:dyDescent="0.35">
      <c r="A101" s="5">
        <v>44680</v>
      </c>
      <c r="B101" s="3">
        <v>-0.10080226107544543</v>
      </c>
      <c r="C101" s="3">
        <v>7.0621998046640044E-2</v>
      </c>
      <c r="D101" s="3">
        <v>-0.25065658157369475</v>
      </c>
    </row>
    <row r="102" spans="1:4" x14ac:dyDescent="0.35">
      <c r="A102" s="5">
        <v>44683</v>
      </c>
      <c r="B102" s="3">
        <v>-0.10087644359168357</v>
      </c>
      <c r="C102" s="3">
        <v>7.0621998046640044E-2</v>
      </c>
      <c r="D102" s="3">
        <v>-0.25065658157369475</v>
      </c>
    </row>
    <row r="103" spans="1:4" x14ac:dyDescent="0.35">
      <c r="A103" s="5">
        <v>44684</v>
      </c>
      <c r="B103" s="3">
        <v>-0.10090117109709662</v>
      </c>
      <c r="C103" s="3">
        <v>7.0621998046640044E-2</v>
      </c>
      <c r="D103" s="3">
        <v>-0.25065658157369475</v>
      </c>
    </row>
    <row r="104" spans="1:4" x14ac:dyDescent="0.35">
      <c r="A104" s="5">
        <v>44685</v>
      </c>
      <c r="B104" s="3">
        <v>-0.10092589860250911</v>
      </c>
      <c r="C104" s="3">
        <v>7.0621998046640044E-2</v>
      </c>
      <c r="D104" s="3">
        <v>-0.25065658157369475</v>
      </c>
    </row>
    <row r="105" spans="1:4" x14ac:dyDescent="0.35">
      <c r="A105" s="5">
        <v>44686</v>
      </c>
      <c r="B105" s="3">
        <v>-0.10116372282996056</v>
      </c>
      <c r="C105" s="3">
        <v>5.8948664088944946E-2</v>
      </c>
      <c r="D105" s="3">
        <v>-0.2687257064817733</v>
      </c>
    </row>
    <row r="106" spans="1:4" x14ac:dyDescent="0.35">
      <c r="A106" s="5">
        <v>44687</v>
      </c>
      <c r="B106" s="3">
        <v>-0.11921027056299072</v>
      </c>
      <c r="C106" s="3">
        <v>4.6479268961642006E-2</v>
      </c>
      <c r="D106" s="3">
        <v>-0.28689988444164305</v>
      </c>
    </row>
    <row r="107" spans="1:4" x14ac:dyDescent="0.35">
      <c r="A107" s="5">
        <v>44690</v>
      </c>
      <c r="B107" s="3">
        <v>-0.12057620725313634</v>
      </c>
      <c r="C107" s="3">
        <v>3.6337851036217561E-2</v>
      </c>
      <c r="D107" s="3">
        <v>-0.29887593234583465</v>
      </c>
    </row>
    <row r="108" spans="1:4" x14ac:dyDescent="0.35">
      <c r="A108" s="5">
        <v>44691</v>
      </c>
      <c r="B108" s="3">
        <v>-0.11390362636108708</v>
      </c>
      <c r="C108" s="3">
        <v>3.9950229452925479E-2</v>
      </c>
      <c r="D108" s="3">
        <v>-0.29803550793150546</v>
      </c>
    </row>
    <row r="109" spans="1:4" x14ac:dyDescent="0.35">
      <c r="A109" s="5">
        <v>44692</v>
      </c>
      <c r="B109" s="3">
        <v>-0.11752105975340554</v>
      </c>
      <c r="C109" s="3">
        <v>4.0853324057102514E-2</v>
      </c>
      <c r="D109" s="3">
        <v>-0.30391847883181</v>
      </c>
    </row>
    <row r="110" spans="1:4" x14ac:dyDescent="0.35">
      <c r="A110" s="5">
        <v>44693</v>
      </c>
      <c r="B110" s="3">
        <v>-0.11852514186695495</v>
      </c>
      <c r="C110" s="3">
        <v>2.9394056968545579E-2</v>
      </c>
      <c r="D110" s="3">
        <v>-0.33480407605840945</v>
      </c>
    </row>
    <row r="111" spans="1:4" x14ac:dyDescent="0.35">
      <c r="A111" s="5">
        <v>44694</v>
      </c>
      <c r="B111" s="3">
        <v>-0.11722934891714454</v>
      </c>
      <c r="C111" s="3">
        <v>3.3146916768125534E-2</v>
      </c>
      <c r="D111" s="3">
        <v>-0.30990650278390586</v>
      </c>
    </row>
    <row r="112" spans="1:4" x14ac:dyDescent="0.35">
      <c r="A112" s="5">
        <v>44697</v>
      </c>
      <c r="B112" s="3">
        <v>-0.11730203707014997</v>
      </c>
      <c r="C112" s="3">
        <v>3.3146916768125534E-2</v>
      </c>
      <c r="D112" s="3">
        <v>-0.30990650278390586</v>
      </c>
    </row>
    <row r="113" spans="1:4" x14ac:dyDescent="0.35">
      <c r="A113" s="5">
        <v>44698</v>
      </c>
      <c r="B113" s="3">
        <v>-0.11217731694950295</v>
      </c>
      <c r="C113" s="3">
        <v>3.5949854835904294E-2</v>
      </c>
      <c r="D113" s="3">
        <v>-0.29540918163672658</v>
      </c>
    </row>
    <row r="114" spans="1:4" x14ac:dyDescent="0.35">
      <c r="A114" s="5">
        <v>44699</v>
      </c>
      <c r="B114" s="3">
        <v>-0.11536970944712854</v>
      </c>
      <c r="C114" s="3">
        <v>4.01709859117243E-2</v>
      </c>
      <c r="D114" s="3">
        <v>-0.29719508351717605</v>
      </c>
    </row>
    <row r="115" spans="1:4" x14ac:dyDescent="0.35">
      <c r="A115" s="5">
        <v>44700</v>
      </c>
      <c r="B115" s="3">
        <v>-0.11686844060189283</v>
      </c>
      <c r="C115" s="3">
        <v>3.6491711598410692E-2</v>
      </c>
      <c r="D115" s="3">
        <v>-0.30791049479987398</v>
      </c>
    </row>
    <row r="116" spans="1:4" x14ac:dyDescent="0.35">
      <c r="A116" s="5">
        <v>44701</v>
      </c>
      <c r="B116" s="3">
        <v>-0.11475459793012333</v>
      </c>
      <c r="C116" s="3">
        <v>3.6297713498254058E-2</v>
      </c>
      <c r="D116" s="3">
        <v>-0.30013656896732843</v>
      </c>
    </row>
    <row r="117" spans="1:4" x14ac:dyDescent="0.35">
      <c r="A117" s="5">
        <v>44704</v>
      </c>
      <c r="B117" s="3">
        <v>-0.11350746908274889</v>
      </c>
      <c r="C117" s="3">
        <v>3.1889273911938298E-2</v>
      </c>
      <c r="D117" s="3">
        <v>-0.3055993276604686</v>
      </c>
    </row>
    <row r="118" spans="1:4" x14ac:dyDescent="0.35">
      <c r="A118" s="5">
        <v>44705</v>
      </c>
      <c r="B118" s="3">
        <v>-0.11617954581846557</v>
      </c>
      <c r="C118" s="3">
        <v>2.4376864723117952E-2</v>
      </c>
      <c r="D118" s="3">
        <v>-0.31337325349301393</v>
      </c>
    </row>
    <row r="119" spans="1:4" x14ac:dyDescent="0.35">
      <c r="A119" s="5">
        <v>44706</v>
      </c>
      <c r="B119" s="3">
        <v>-0.11698411195648706</v>
      </c>
      <c r="C119" s="3">
        <v>2.7226629918520873E-2</v>
      </c>
      <c r="D119" s="3">
        <v>-0.31305809433764054</v>
      </c>
    </row>
    <row r="120" spans="1:4" x14ac:dyDescent="0.35">
      <c r="A120" s="5">
        <v>44707</v>
      </c>
      <c r="B120" s="3">
        <v>-0.1140184079360308</v>
      </c>
      <c r="C120" s="3">
        <v>3.0966110538779734E-2</v>
      </c>
      <c r="D120" s="3">
        <v>-0.29687992436180266</v>
      </c>
    </row>
    <row r="121" spans="1:4" x14ac:dyDescent="0.35">
      <c r="A121" s="5">
        <v>44708</v>
      </c>
      <c r="B121" s="3">
        <v>-0.11920527574305173</v>
      </c>
      <c r="C121" s="3">
        <v>3.4718970338359467E-2</v>
      </c>
      <c r="D121" s="3">
        <v>-0.30192247084777812</v>
      </c>
    </row>
    <row r="122" spans="1:4" x14ac:dyDescent="0.35">
      <c r="A122" s="5">
        <v>44711</v>
      </c>
      <c r="B122" s="3">
        <v>-0.11730675974675786</v>
      </c>
      <c r="C122" s="3">
        <v>3.2217063805306312E-2</v>
      </c>
      <c r="D122" s="3">
        <v>-0.29068179430612462</v>
      </c>
    </row>
    <row r="123" spans="1:4" x14ac:dyDescent="0.35">
      <c r="A123" s="5">
        <v>44712</v>
      </c>
      <c r="B123" s="3">
        <v>-0.11291357538818381</v>
      </c>
      <c r="C123" s="3">
        <v>5.0332472606130274E-2</v>
      </c>
      <c r="D123" s="3">
        <v>-0.2791259586090975</v>
      </c>
    </row>
    <row r="124" spans="1:4" x14ac:dyDescent="0.35">
      <c r="A124" s="5">
        <v>44713</v>
      </c>
      <c r="B124" s="3">
        <v>-0.11173886091546092</v>
      </c>
      <c r="C124" s="3">
        <v>3.916754746263873E-2</v>
      </c>
      <c r="D124" s="3">
        <v>-0.28563924782014916</v>
      </c>
    </row>
    <row r="125" spans="1:4" x14ac:dyDescent="0.35">
      <c r="A125" s="5">
        <v>44714</v>
      </c>
      <c r="B125" s="3">
        <v>-0.11661108894906769</v>
      </c>
      <c r="C125" s="3">
        <v>3.6819501491778706E-2</v>
      </c>
      <c r="D125" s="3">
        <v>-0.27954617081626221</v>
      </c>
    </row>
    <row r="126" spans="1:4" x14ac:dyDescent="0.35">
      <c r="A126" s="5">
        <v>44715</v>
      </c>
      <c r="B126" s="3">
        <v>-0.11465815950490232</v>
      </c>
      <c r="C126" s="3">
        <v>2.874516677147021E-2</v>
      </c>
      <c r="D126" s="3">
        <v>-0.26767517596386181</v>
      </c>
    </row>
    <row r="127" spans="1:4" x14ac:dyDescent="0.35">
      <c r="A127" s="5">
        <v>44718</v>
      </c>
      <c r="B127" s="3">
        <v>-0.11473105299167341</v>
      </c>
      <c r="C127" s="3">
        <v>2.874516677147021E-2</v>
      </c>
      <c r="D127" s="3">
        <v>-0.26767517596386181</v>
      </c>
    </row>
    <row r="128" spans="1:4" x14ac:dyDescent="0.35">
      <c r="A128" s="5">
        <v>44719</v>
      </c>
      <c r="B128" s="3">
        <v>-0.1179076347893514</v>
      </c>
      <c r="C128" s="3">
        <v>2.0784555075391786E-2</v>
      </c>
      <c r="D128" s="3">
        <v>-0.27691984452148333</v>
      </c>
    </row>
    <row r="129" spans="1:4" x14ac:dyDescent="0.35">
      <c r="A129" s="5">
        <v>44720</v>
      </c>
      <c r="B129" s="3">
        <v>-0.12164744710593878</v>
      </c>
      <c r="C129" s="3">
        <v>1.9399810015653607E-2</v>
      </c>
      <c r="D129" s="3">
        <v>-0.27523899569282495</v>
      </c>
    </row>
    <row r="130" spans="1:4" x14ac:dyDescent="0.35">
      <c r="A130" s="5">
        <v>44721</v>
      </c>
      <c r="B130" s="3">
        <v>-0.11872849073943992</v>
      </c>
      <c r="C130" s="3">
        <v>9.9340406459469399E-3</v>
      </c>
      <c r="D130" s="3">
        <v>-0.27965122386805341</v>
      </c>
    </row>
    <row r="131" spans="1:4" x14ac:dyDescent="0.35">
      <c r="A131" s="5">
        <v>44722</v>
      </c>
      <c r="B131" s="3">
        <v>-0.12687996745350061</v>
      </c>
      <c r="C131" s="3">
        <v>-6.0875265911175536E-4</v>
      </c>
      <c r="D131" s="3">
        <v>-0.28816052106313683</v>
      </c>
    </row>
    <row r="132" spans="1:4" x14ac:dyDescent="0.35">
      <c r="A132" s="5">
        <v>44725</v>
      </c>
      <c r="B132" s="3">
        <v>-0.14091822633676077</v>
      </c>
      <c r="C132" s="3">
        <v>-2.0088837750692368E-2</v>
      </c>
      <c r="D132" s="3">
        <v>-0.3285008929509402</v>
      </c>
    </row>
    <row r="133" spans="1:4" x14ac:dyDescent="0.35">
      <c r="A133" s="5">
        <v>44726</v>
      </c>
      <c r="B133" s="3">
        <v>-0.1364461938122149</v>
      </c>
      <c r="C133" s="3">
        <v>-9.0844627590542792E-3</v>
      </c>
      <c r="D133" s="3">
        <v>-0.32345834646496474</v>
      </c>
    </row>
    <row r="134" spans="1:4" x14ac:dyDescent="0.35">
      <c r="A134" s="5">
        <v>44727</v>
      </c>
      <c r="B134" s="3">
        <v>-0.1413119196099123</v>
      </c>
      <c r="C134" s="3">
        <v>-2.3955420574501951E-2</v>
      </c>
      <c r="D134" s="3">
        <v>-0.33595965962811214</v>
      </c>
    </row>
    <row r="135" spans="1:4" x14ac:dyDescent="0.35">
      <c r="A135" s="5">
        <v>44728</v>
      </c>
      <c r="B135" s="3">
        <v>-0.13809926751408563</v>
      </c>
      <c r="C135" s="3">
        <v>-1.4777303560199573E-2</v>
      </c>
      <c r="D135" s="3">
        <v>-0.33354343943691567</v>
      </c>
    </row>
    <row r="136" spans="1:4" x14ac:dyDescent="0.35">
      <c r="A136" s="5">
        <v>44729</v>
      </c>
      <c r="B136" s="3">
        <v>-0.1392687801980812</v>
      </c>
      <c r="C136" s="3">
        <v>-2.5500715786093586E-2</v>
      </c>
      <c r="D136" s="3">
        <v>-0.33816577371572643</v>
      </c>
    </row>
    <row r="137" spans="1:4" x14ac:dyDescent="0.35">
      <c r="A137" s="5">
        <v>44732</v>
      </c>
      <c r="B137" s="3">
        <v>-0.14369502329290906</v>
      </c>
      <c r="C137" s="3">
        <v>-3.5869579759977399E-2</v>
      </c>
      <c r="D137" s="3">
        <v>-0.35507931505410228</v>
      </c>
    </row>
    <row r="138" spans="1:4" x14ac:dyDescent="0.35">
      <c r="A138" s="5">
        <v>44733</v>
      </c>
      <c r="B138" s="3">
        <v>-0.14247369805540555</v>
      </c>
      <c r="C138" s="3">
        <v>-2.4738102564788589E-2</v>
      </c>
      <c r="D138" s="3">
        <v>-0.34205273663199909</v>
      </c>
    </row>
    <row r="139" spans="1:4" x14ac:dyDescent="0.35">
      <c r="A139" s="5">
        <v>44734</v>
      </c>
      <c r="B139" s="3">
        <v>-0.14678878713848109</v>
      </c>
      <c r="C139" s="3">
        <v>-4.2652823675795704E-2</v>
      </c>
      <c r="D139" s="3">
        <v>-0.35612984557201388</v>
      </c>
    </row>
    <row r="140" spans="1:4" x14ac:dyDescent="0.35">
      <c r="A140" s="5">
        <v>44735</v>
      </c>
      <c r="B140" s="3">
        <v>-0.14882460297934086</v>
      </c>
      <c r="C140" s="3">
        <v>-4.2686271624098548E-2</v>
      </c>
      <c r="D140" s="3">
        <v>-0.35728542914171657</v>
      </c>
    </row>
    <row r="141" spans="1:4" x14ac:dyDescent="0.35">
      <c r="A141" s="5">
        <v>44736</v>
      </c>
      <c r="B141" s="3">
        <v>-0.14996098848249417</v>
      </c>
      <c r="C141" s="3">
        <v>-3.8906653465876295E-2</v>
      </c>
      <c r="D141" s="3">
        <v>-0.34215778968379029</v>
      </c>
    </row>
    <row r="142" spans="1:4" x14ac:dyDescent="0.35">
      <c r="A142" s="5">
        <v>44739</v>
      </c>
      <c r="B142" s="3">
        <v>-0.15143726981222461</v>
      </c>
      <c r="C142" s="3">
        <v>-3.7956731734075433E-2</v>
      </c>
      <c r="D142" s="3">
        <v>-0.32356339951675595</v>
      </c>
    </row>
    <row r="143" spans="1:4" x14ac:dyDescent="0.35">
      <c r="A143" s="5">
        <v>44740</v>
      </c>
      <c r="B143" s="3">
        <v>-0.14984538557248828</v>
      </c>
      <c r="C143" s="3">
        <v>-2.6838633718207605E-2</v>
      </c>
      <c r="D143" s="3">
        <v>-0.33165248450467488</v>
      </c>
    </row>
    <row r="144" spans="1:4" x14ac:dyDescent="0.35">
      <c r="A144" s="5">
        <v>44741</v>
      </c>
      <c r="B144" s="3">
        <v>-0.14907839551356317</v>
      </c>
      <c r="C144" s="3">
        <v>-2.9019439947553516E-2</v>
      </c>
      <c r="D144" s="3">
        <v>-0.34163252442483449</v>
      </c>
    </row>
    <row r="145" spans="1:4" x14ac:dyDescent="0.35">
      <c r="A145" s="5">
        <v>44742</v>
      </c>
      <c r="B145" s="3">
        <v>-0.14772291888256583</v>
      </c>
      <c r="C145" s="3">
        <v>-3.3876082041127464E-2</v>
      </c>
      <c r="D145" s="3">
        <v>-0.34299821409811959</v>
      </c>
    </row>
    <row r="146" spans="1:4" x14ac:dyDescent="0.35">
      <c r="A146" s="5">
        <v>44743</v>
      </c>
      <c r="B146" s="3">
        <v>-0.1487566375029431</v>
      </c>
      <c r="C146" s="3">
        <v>-3.0183428548492763E-2</v>
      </c>
      <c r="D146" s="3">
        <v>-0.34961655636096234</v>
      </c>
    </row>
    <row r="147" spans="1:4" x14ac:dyDescent="0.35">
      <c r="A147" s="5">
        <v>44746</v>
      </c>
      <c r="B147" s="3">
        <v>-0.14956626854051469</v>
      </c>
      <c r="C147" s="3">
        <v>-3.8358107113709572E-2</v>
      </c>
      <c r="D147" s="3">
        <v>-0.36358861224918582</v>
      </c>
    </row>
    <row r="148" spans="1:4" x14ac:dyDescent="0.35">
      <c r="A148" s="5">
        <v>44747</v>
      </c>
      <c r="B148" s="3">
        <v>-0.14793386510437612</v>
      </c>
      <c r="C148" s="3">
        <v>-3.6157232115382021E-2</v>
      </c>
      <c r="D148" s="3">
        <v>-0.36789578737262318</v>
      </c>
    </row>
    <row r="149" spans="1:4" x14ac:dyDescent="0.35">
      <c r="A149" s="5">
        <v>44748</v>
      </c>
      <c r="B149" s="3">
        <v>-0.14877669176737862</v>
      </c>
      <c r="C149" s="3">
        <v>-4.9509653077880245E-2</v>
      </c>
      <c r="D149" s="3">
        <v>-0.37461918268725702</v>
      </c>
    </row>
    <row r="150" spans="1:4" x14ac:dyDescent="0.35">
      <c r="A150" s="5">
        <v>44749</v>
      </c>
      <c r="B150" s="3">
        <v>-0.1486632790842054</v>
      </c>
      <c r="C150" s="3">
        <v>-5.0954604444563234E-2</v>
      </c>
      <c r="D150" s="3">
        <v>-0.37619497846412431</v>
      </c>
    </row>
    <row r="151" spans="1:4" x14ac:dyDescent="0.35">
      <c r="A151" s="5">
        <v>44750</v>
      </c>
      <c r="B151" s="3">
        <v>-0.14868675557806676</v>
      </c>
      <c r="C151" s="3">
        <v>-4.6204995785558478E-2</v>
      </c>
      <c r="D151" s="3">
        <v>-0.37020695451202856</v>
      </c>
    </row>
    <row r="152" spans="1:4" x14ac:dyDescent="0.35">
      <c r="A152" s="5">
        <v>44753</v>
      </c>
      <c r="B152" s="3">
        <v>-0.14875718505965119</v>
      </c>
      <c r="C152" s="3">
        <v>-4.6204995785558478E-2</v>
      </c>
      <c r="D152" s="3">
        <v>-0.37020695451202856</v>
      </c>
    </row>
    <row r="153" spans="1:4" x14ac:dyDescent="0.35">
      <c r="A153" s="5">
        <v>44754</v>
      </c>
      <c r="B153" s="3">
        <v>-0.1487530099397516</v>
      </c>
      <c r="C153" s="3">
        <v>-4.6010997685401955E-2</v>
      </c>
      <c r="D153" s="3">
        <v>-0.39037714045593019</v>
      </c>
    </row>
    <row r="154" spans="1:4" x14ac:dyDescent="0.35">
      <c r="A154" s="5">
        <v>44755</v>
      </c>
      <c r="B154" s="3">
        <v>-0.14950193062730832</v>
      </c>
      <c r="C154" s="3">
        <v>-5.5884832024403641E-2</v>
      </c>
      <c r="D154" s="3">
        <v>-0.39773085408131104</v>
      </c>
    </row>
    <row r="155" spans="1:4" x14ac:dyDescent="0.35">
      <c r="A155" s="5">
        <v>44756</v>
      </c>
      <c r="B155" s="3">
        <v>-0.14926182701078961</v>
      </c>
      <c r="C155" s="3">
        <v>-5.0038130661065217E-2</v>
      </c>
      <c r="D155" s="3">
        <v>-0.39531463389011445</v>
      </c>
    </row>
    <row r="156" spans="1:4" x14ac:dyDescent="0.35">
      <c r="A156" s="5">
        <v>44757</v>
      </c>
      <c r="B156" s="3">
        <v>-0.14977461386796154</v>
      </c>
      <c r="C156" s="3">
        <v>-5.112184418607757E-2</v>
      </c>
      <c r="D156" s="3">
        <v>-0.38302342683054946</v>
      </c>
    </row>
    <row r="157" spans="1:4" x14ac:dyDescent="0.35">
      <c r="A157" s="5">
        <v>44760</v>
      </c>
      <c r="B157" s="3">
        <v>-0.15059772848947095</v>
      </c>
      <c r="C157" s="3">
        <v>-4.3696399662844665E-2</v>
      </c>
      <c r="D157" s="3">
        <v>-0.36768568126904089</v>
      </c>
    </row>
    <row r="158" spans="1:4" x14ac:dyDescent="0.35">
      <c r="A158" s="5">
        <v>44761</v>
      </c>
      <c r="B158" s="3">
        <v>-0.15144247160095192</v>
      </c>
      <c r="C158" s="3">
        <v>-4.421818765636909E-2</v>
      </c>
      <c r="D158" s="3">
        <v>-0.36968168925307276</v>
      </c>
    </row>
    <row r="159" spans="1:4" x14ac:dyDescent="0.35">
      <c r="A159" s="5">
        <v>44762</v>
      </c>
      <c r="B159" s="3">
        <v>-0.15009698787987813</v>
      </c>
      <c r="C159" s="3">
        <v>-3.8719344955380319E-2</v>
      </c>
      <c r="D159" s="3">
        <v>-0.35655005777917848</v>
      </c>
    </row>
    <row r="160" spans="1:4" x14ac:dyDescent="0.35">
      <c r="A160" s="5">
        <v>44763</v>
      </c>
      <c r="B160" s="3">
        <v>-0.14909372710139102</v>
      </c>
      <c r="C160" s="3">
        <v>-2.9795432348179718E-2</v>
      </c>
      <c r="D160" s="3">
        <v>-0.34520432818573377</v>
      </c>
    </row>
    <row r="161" spans="1:4" x14ac:dyDescent="0.35">
      <c r="A161" s="5">
        <v>44764</v>
      </c>
      <c r="B161" s="3">
        <v>-0.1442124643821</v>
      </c>
      <c r="C161" s="3">
        <v>-1.9439947553616999E-2</v>
      </c>
      <c r="D161" s="3">
        <v>-0.34037188780334071</v>
      </c>
    </row>
    <row r="162" spans="1:4" x14ac:dyDescent="0.35">
      <c r="A162" s="5">
        <v>44767</v>
      </c>
      <c r="B162" s="3">
        <v>-0.14483086123935418</v>
      </c>
      <c r="C162" s="3">
        <v>-1.7152107889702006E-2</v>
      </c>
      <c r="D162" s="3">
        <v>-0.3529782540182792</v>
      </c>
    </row>
    <row r="163" spans="1:4" x14ac:dyDescent="0.35">
      <c r="A163" s="5">
        <v>44768</v>
      </c>
      <c r="B163" s="3">
        <v>-0.1447859615892868</v>
      </c>
      <c r="C163" s="3">
        <v>-2.0851450971997254E-2</v>
      </c>
      <c r="D163" s="3">
        <v>-0.34961655636096234</v>
      </c>
    </row>
    <row r="164" spans="1:4" x14ac:dyDescent="0.35">
      <c r="A164" s="5">
        <v>44769</v>
      </c>
      <c r="B164" s="3">
        <v>-0.1450148402932887</v>
      </c>
      <c r="C164" s="3">
        <v>-1.6155359030276983E-2</v>
      </c>
      <c r="D164" s="3">
        <v>-0.33333333333333326</v>
      </c>
    </row>
    <row r="165" spans="1:4" x14ac:dyDescent="0.35">
      <c r="A165" s="5">
        <v>44770</v>
      </c>
      <c r="B165" s="3">
        <v>-0.14154771121735443</v>
      </c>
      <c r="C165" s="3">
        <v>-2.4483898157685591E-3</v>
      </c>
      <c r="D165" s="3">
        <v>-0.31305809433764054</v>
      </c>
    </row>
    <row r="166" spans="1:4" x14ac:dyDescent="0.35">
      <c r="A166" s="5">
        <v>44771</v>
      </c>
      <c r="B166" s="3">
        <v>-0.14400123884741656</v>
      </c>
      <c r="C166" s="3">
        <v>-1.7593620807299093E-3</v>
      </c>
      <c r="D166" s="3">
        <v>-0.30223763000315151</v>
      </c>
    </row>
    <row r="167" spans="1:4" x14ac:dyDescent="0.35">
      <c r="A167" s="5">
        <v>44774</v>
      </c>
      <c r="B167" s="3">
        <v>-0.14327697394448791</v>
      </c>
      <c r="C167" s="3">
        <v>4.8231941452712146E-3</v>
      </c>
      <c r="D167" s="3">
        <v>-0.29929614455299924</v>
      </c>
    </row>
    <row r="168" spans="1:4" x14ac:dyDescent="0.35">
      <c r="A168" s="5">
        <v>44775</v>
      </c>
      <c r="B168" s="3">
        <v>-0.14770899612545663</v>
      </c>
      <c r="C168" s="3">
        <v>1.2710220355094393E-4</v>
      </c>
      <c r="D168" s="3">
        <v>-0.31946633049690087</v>
      </c>
    </row>
    <row r="169" spans="1:4" x14ac:dyDescent="0.35">
      <c r="A169" s="5">
        <v>44776</v>
      </c>
      <c r="B169" s="3">
        <v>-0.14703827441029538</v>
      </c>
      <c r="C169" s="3">
        <v>-2.8698339643845605E-3</v>
      </c>
      <c r="D169" s="3">
        <v>-0.31242777602689353</v>
      </c>
    </row>
    <row r="170" spans="1:4" x14ac:dyDescent="0.35">
      <c r="A170" s="5">
        <v>44777</v>
      </c>
      <c r="B170" s="3">
        <v>-0.1443677102930272</v>
      </c>
      <c r="C170" s="3">
        <v>8.596122713832921E-3</v>
      </c>
      <c r="D170" s="3">
        <v>-0.2916272717722449</v>
      </c>
    </row>
    <row r="171" spans="1:4" x14ac:dyDescent="0.35">
      <c r="A171" s="5">
        <v>44778</v>
      </c>
      <c r="B171" s="3">
        <v>-0.15509214178520414</v>
      </c>
      <c r="C171" s="3">
        <v>4.4753354829214498E-3</v>
      </c>
      <c r="D171" s="3">
        <v>-0.2914171656686626</v>
      </c>
    </row>
    <row r="172" spans="1:4" x14ac:dyDescent="0.35">
      <c r="A172" s="5">
        <v>44781</v>
      </c>
      <c r="B172" s="3">
        <v>-0.15655065127759815</v>
      </c>
      <c r="C172" s="3">
        <v>7.8268199028674879E-4</v>
      </c>
      <c r="D172" s="3">
        <v>-0.29971635676016395</v>
      </c>
    </row>
    <row r="173" spans="1:4" x14ac:dyDescent="0.35">
      <c r="A173" s="5">
        <v>44782</v>
      </c>
      <c r="B173" s="3">
        <v>-0.15762811030404922</v>
      </c>
      <c r="C173" s="3">
        <v>1.8864642842808532E-3</v>
      </c>
      <c r="D173" s="3">
        <v>-0.30244773610673381</v>
      </c>
    </row>
    <row r="174" spans="1:4" x14ac:dyDescent="0.35">
      <c r="A174" s="5">
        <v>44783</v>
      </c>
      <c r="B174" s="3">
        <v>-0.16262255290628291</v>
      </c>
      <c r="C174" s="3">
        <v>-1.6924661841242195E-3</v>
      </c>
      <c r="D174" s="3">
        <v>-0.32293308120600894</v>
      </c>
    </row>
    <row r="175" spans="1:4" x14ac:dyDescent="0.35">
      <c r="A175" s="5">
        <v>44784</v>
      </c>
      <c r="B175" s="3">
        <v>-0.15141059203180862</v>
      </c>
      <c r="C175" s="3">
        <v>7.1578609368101453E-3</v>
      </c>
      <c r="D175" s="3">
        <v>-0.29414854501523269</v>
      </c>
    </row>
    <row r="176" spans="1:4" x14ac:dyDescent="0.35">
      <c r="A176" s="5">
        <v>44785</v>
      </c>
      <c r="B176" s="3">
        <v>-0.16101183149923093</v>
      </c>
      <c r="C176" s="3">
        <v>7.5793050854262578E-3</v>
      </c>
      <c r="D176" s="3">
        <v>-0.29603949994747336</v>
      </c>
    </row>
    <row r="177" spans="1:4" x14ac:dyDescent="0.35">
      <c r="A177" s="5">
        <v>44788</v>
      </c>
      <c r="B177" s="3">
        <v>-0.16362451343458528</v>
      </c>
      <c r="C177" s="3">
        <v>6.1209745394217308E-3</v>
      </c>
      <c r="D177" s="3">
        <v>-0.29582939384389118</v>
      </c>
    </row>
    <row r="178" spans="1:4" x14ac:dyDescent="0.35">
      <c r="A178" s="5">
        <v>44789</v>
      </c>
      <c r="B178" s="3">
        <v>-0.16173852623888152</v>
      </c>
      <c r="C178" s="3">
        <v>1.6001498468084074E-2</v>
      </c>
      <c r="D178" s="3">
        <v>-0.29372833280806798</v>
      </c>
    </row>
    <row r="179" spans="1:4" x14ac:dyDescent="0.35">
      <c r="A179" s="5">
        <v>44790</v>
      </c>
      <c r="B179" s="3">
        <v>-0.15898482699376681</v>
      </c>
      <c r="C179" s="3">
        <v>1.5586743909128842E-2</v>
      </c>
      <c r="D179" s="3">
        <v>-0.30034667507091084</v>
      </c>
    </row>
    <row r="180" spans="1:4" x14ac:dyDescent="0.35">
      <c r="A180" s="5">
        <v>44791</v>
      </c>
      <c r="B180" s="3">
        <v>-0.15920620247511963</v>
      </c>
      <c r="C180" s="3">
        <v>1.4556547101400863E-2</v>
      </c>
      <c r="D180" s="3">
        <v>-0.30223763000315151</v>
      </c>
    </row>
    <row r="181" spans="1:4" x14ac:dyDescent="0.35">
      <c r="A181" s="5">
        <v>44792</v>
      </c>
      <c r="B181" s="3">
        <v>-0.15827488077152174</v>
      </c>
      <c r="C181" s="3">
        <v>6.4086268948264635E-3</v>
      </c>
      <c r="D181" s="3">
        <v>-0.29719508351717605</v>
      </c>
    </row>
    <row r="182" spans="1:4" x14ac:dyDescent="0.35">
      <c r="A182" s="5">
        <v>44795</v>
      </c>
      <c r="B182" s="3">
        <v>-0.16849815843978155</v>
      </c>
      <c r="C182" s="3">
        <v>-5.0105026557670795E-3</v>
      </c>
      <c r="D182" s="3">
        <v>-0.32240781594705326</v>
      </c>
    </row>
    <row r="183" spans="1:4" x14ac:dyDescent="0.35">
      <c r="A183" s="5">
        <v>44796</v>
      </c>
      <c r="B183" s="3">
        <v>-0.16808734247399404</v>
      </c>
      <c r="C183" s="3">
        <v>-8.2215056928407471E-3</v>
      </c>
      <c r="D183" s="3">
        <v>-0.32356339951675595</v>
      </c>
    </row>
    <row r="184" spans="1:4" x14ac:dyDescent="0.35">
      <c r="A184" s="5">
        <v>44797</v>
      </c>
      <c r="B184" s="3">
        <v>-0.17088738217659283</v>
      </c>
      <c r="C184" s="3">
        <v>-1.8463267463173727E-2</v>
      </c>
      <c r="D184" s="3">
        <v>-0.3292362643134783</v>
      </c>
    </row>
    <row r="185" spans="1:4" x14ac:dyDescent="0.35">
      <c r="A185" s="5">
        <v>44798</v>
      </c>
      <c r="B185" s="3">
        <v>-0.16891444153819379</v>
      </c>
      <c r="C185" s="3">
        <v>4.2144414861589041E-4</v>
      </c>
      <c r="D185" s="3">
        <v>-0.31705011030570429</v>
      </c>
    </row>
    <row r="186" spans="1:4" x14ac:dyDescent="0.35">
      <c r="A186" s="5">
        <v>44799</v>
      </c>
      <c r="B186" s="3">
        <v>-0.16407776476312552</v>
      </c>
      <c r="C186" s="3">
        <v>3.632447185689669E-3</v>
      </c>
      <c r="D186" s="3">
        <v>-0.31368841264838743</v>
      </c>
    </row>
    <row r="187" spans="1:4" x14ac:dyDescent="0.35">
      <c r="A187" s="5">
        <v>44802</v>
      </c>
      <c r="B187" s="3">
        <v>-0.17282526374228868</v>
      </c>
      <c r="C187" s="3">
        <v>4.4887146622425433E-3</v>
      </c>
      <c r="D187" s="3">
        <v>-0.33364849248870676</v>
      </c>
    </row>
    <row r="188" spans="1:4" x14ac:dyDescent="0.35">
      <c r="A188" s="5">
        <v>44803</v>
      </c>
      <c r="B188" s="3">
        <v>-0.17441021152411063</v>
      </c>
      <c r="C188" s="3">
        <v>1.1499404626520215E-2</v>
      </c>
      <c r="D188" s="3">
        <v>-0.3291312112616871</v>
      </c>
    </row>
    <row r="189" spans="1:4" x14ac:dyDescent="0.35">
      <c r="A189" s="5">
        <v>44804</v>
      </c>
      <c r="B189" s="3">
        <v>-0.174433121413204</v>
      </c>
      <c r="C189" s="3">
        <v>1.1499404626520215E-2</v>
      </c>
      <c r="D189" s="3">
        <v>-0.3291312112616871</v>
      </c>
    </row>
    <row r="190" spans="1:4" x14ac:dyDescent="0.35">
      <c r="A190" s="5">
        <v>44805</v>
      </c>
      <c r="B190" s="3">
        <v>-0.17834134022081094</v>
      </c>
      <c r="C190" s="3">
        <v>-1.9466705912258853E-3</v>
      </c>
      <c r="D190" s="3">
        <v>-0.34383863851244878</v>
      </c>
    </row>
    <row r="191" spans="1:4" x14ac:dyDescent="0.35">
      <c r="A191" s="5">
        <v>44806</v>
      </c>
      <c r="B191" s="3">
        <v>-0.17737478588474365</v>
      </c>
      <c r="C191" s="3">
        <v>-2.4617689950897637E-3</v>
      </c>
      <c r="D191" s="3">
        <v>-0.34415379766782228</v>
      </c>
    </row>
    <row r="192" spans="1:4" x14ac:dyDescent="0.35">
      <c r="A192" s="5">
        <v>44809</v>
      </c>
      <c r="B192" s="3">
        <v>-0.17988602213695359</v>
      </c>
      <c r="C192" s="3">
        <v>-3.3849323682485499E-3</v>
      </c>
      <c r="D192" s="3">
        <v>-0.34835591973946844</v>
      </c>
    </row>
    <row r="193" spans="1:4" x14ac:dyDescent="0.35">
      <c r="A193" s="5">
        <v>44810</v>
      </c>
      <c r="B193" s="3">
        <v>-0.17557557857196904</v>
      </c>
      <c r="C193" s="3">
        <v>-4.4084395863157599E-3</v>
      </c>
      <c r="D193" s="3">
        <v>-0.33921630423363802</v>
      </c>
    </row>
    <row r="194" spans="1:4" x14ac:dyDescent="0.35">
      <c r="A194" s="5">
        <v>44811</v>
      </c>
      <c r="B194" s="3">
        <v>-0.17416696751225946</v>
      </c>
      <c r="C194" s="3">
        <v>-2.3480459708601353E-3</v>
      </c>
      <c r="D194" s="3">
        <v>-0.34037188780334071</v>
      </c>
    </row>
    <row r="195" spans="1:4" x14ac:dyDescent="0.35">
      <c r="A195" s="5">
        <v>44812</v>
      </c>
      <c r="B195" s="3">
        <v>-0.17280139927448301</v>
      </c>
      <c r="C195" s="3">
        <v>-8.6964665587330181E-5</v>
      </c>
      <c r="D195" s="3">
        <v>-0.33774556150856183</v>
      </c>
    </row>
    <row r="196" spans="1:4" x14ac:dyDescent="0.35">
      <c r="A196" s="5">
        <v>44813</v>
      </c>
      <c r="B196" s="3">
        <v>-0.17013413279276601</v>
      </c>
      <c r="C196" s="3">
        <v>1.117161473315198E-3</v>
      </c>
      <c r="D196" s="3">
        <v>-0.33217774976363057</v>
      </c>
    </row>
    <row r="197" spans="1:4" x14ac:dyDescent="0.35">
      <c r="A197" s="5">
        <v>44816</v>
      </c>
      <c r="B197" s="3">
        <v>-0.16627655850701573</v>
      </c>
      <c r="C197" s="3">
        <v>2.0737727947768292E-3</v>
      </c>
      <c r="D197" s="3">
        <v>-0.31799558777182468</v>
      </c>
    </row>
    <row r="198" spans="1:4" x14ac:dyDescent="0.35">
      <c r="A198" s="5">
        <v>44817</v>
      </c>
      <c r="B198" s="3">
        <v>-0.16702673934668411</v>
      </c>
      <c r="C198" s="3">
        <v>-4.6960919417202707E-3</v>
      </c>
      <c r="D198" s="3">
        <v>-0.3162096858913751</v>
      </c>
    </row>
    <row r="199" spans="1:4" x14ac:dyDescent="0.35">
      <c r="A199" s="5">
        <v>44818</v>
      </c>
      <c r="B199" s="3">
        <v>-0.17126714799521958</v>
      </c>
      <c r="C199" s="3">
        <v>-1.7673895883226431E-2</v>
      </c>
      <c r="D199" s="3">
        <v>-0.3289211051581048</v>
      </c>
    </row>
    <row r="200" spans="1:4" x14ac:dyDescent="0.35">
      <c r="A200" s="5">
        <v>44819</v>
      </c>
      <c r="B200" s="3">
        <v>-0.17470756734473103</v>
      </c>
      <c r="C200" s="3">
        <v>-1.8429819514870882E-2</v>
      </c>
      <c r="D200" s="3">
        <v>-0.3285008929509402</v>
      </c>
    </row>
    <row r="201" spans="1:4" x14ac:dyDescent="0.35">
      <c r="A201" s="5">
        <v>44820</v>
      </c>
      <c r="B201" s="3">
        <v>-0.17473039925164735</v>
      </c>
      <c r="C201" s="3">
        <v>-1.8429819514870882E-2</v>
      </c>
      <c r="D201" s="3">
        <v>-0.3285008929509402</v>
      </c>
    </row>
    <row r="202" spans="1:4" x14ac:dyDescent="0.35">
      <c r="A202" s="5">
        <v>44823</v>
      </c>
      <c r="B202" s="3">
        <v>-0.17945253205088585</v>
      </c>
      <c r="C202" s="3">
        <v>-2.8992681588911329E-2</v>
      </c>
      <c r="D202" s="3">
        <v>-0.34257800189095489</v>
      </c>
    </row>
    <row r="203" spans="1:4" x14ac:dyDescent="0.35">
      <c r="A203" s="5">
        <v>44824</v>
      </c>
      <c r="B203" s="3">
        <v>-0.17773010462720995</v>
      </c>
      <c r="C203" s="3">
        <v>-2.2584054694085087E-2</v>
      </c>
      <c r="D203" s="3">
        <v>-0.33911125118184682</v>
      </c>
    </row>
    <row r="204" spans="1:4" x14ac:dyDescent="0.35">
      <c r="A204" s="5">
        <v>44825</v>
      </c>
      <c r="B204" s="3">
        <v>-0.18022510851899454</v>
      </c>
      <c r="C204" s="3">
        <v>-3.1895963501598734E-2</v>
      </c>
      <c r="D204" s="3">
        <v>-0.34436390377140458</v>
      </c>
    </row>
    <row r="205" spans="1:4" x14ac:dyDescent="0.35">
      <c r="A205" s="5">
        <v>44826</v>
      </c>
      <c r="B205" s="3">
        <v>-0.18068407347586046</v>
      </c>
      <c r="C205" s="3">
        <v>-3.7261014409376014E-2</v>
      </c>
      <c r="D205" s="3">
        <v>-0.34026683475154951</v>
      </c>
    </row>
    <row r="206" spans="1:4" x14ac:dyDescent="0.35">
      <c r="A206" s="5">
        <v>44827</v>
      </c>
      <c r="B206" s="3">
        <v>-0.18521497087640493</v>
      </c>
      <c r="C206" s="3">
        <v>-4.6746852548064655E-2</v>
      </c>
      <c r="D206" s="3">
        <v>-0.34856602584305074</v>
      </c>
    </row>
    <row r="207" spans="1:4" x14ac:dyDescent="0.35">
      <c r="A207" s="5">
        <v>44830</v>
      </c>
      <c r="B207" s="3">
        <v>-0.18826383029360916</v>
      </c>
      <c r="C207" s="3">
        <v>-5.4734222602785487E-2</v>
      </c>
      <c r="D207" s="3">
        <v>-0.35676016388276077</v>
      </c>
    </row>
    <row r="208" spans="1:4" x14ac:dyDescent="0.35">
      <c r="A208" s="5">
        <v>44831</v>
      </c>
      <c r="B208" s="3">
        <v>-0.18763188092096605</v>
      </c>
      <c r="C208" s="3">
        <v>-5.6185863559129245E-2</v>
      </c>
      <c r="D208" s="3">
        <v>-0.3529782540182792</v>
      </c>
    </row>
    <row r="209" spans="1:4" x14ac:dyDescent="0.35">
      <c r="A209" s="5">
        <v>44832</v>
      </c>
      <c r="B209" s="3">
        <v>-0.18656365307221467</v>
      </c>
      <c r="C209" s="3">
        <v>-6.2193115074321237E-2</v>
      </c>
      <c r="D209" s="3">
        <v>-0.36190776342052733</v>
      </c>
    </row>
    <row r="210" spans="1:4" x14ac:dyDescent="0.35">
      <c r="A210" s="5">
        <v>44833</v>
      </c>
      <c r="B210" s="3">
        <v>-0.18745867836595098</v>
      </c>
      <c r="C210" s="3">
        <v>-6.5129844935311598E-2</v>
      </c>
      <c r="D210" s="3">
        <v>-0.36505935497426201</v>
      </c>
    </row>
    <row r="211" spans="1:4" x14ac:dyDescent="0.35">
      <c r="A211" s="5">
        <v>44834</v>
      </c>
      <c r="B211" s="3">
        <v>-0.18340921426379231</v>
      </c>
      <c r="C211" s="3">
        <v>-6.7049757167895185E-2</v>
      </c>
      <c r="D211" s="3">
        <v>-0.36012186154007775</v>
      </c>
    </row>
    <row r="212" spans="1:4" x14ac:dyDescent="0.35">
      <c r="A212" s="5">
        <v>44837</v>
      </c>
      <c r="B212" s="3">
        <v>-0.18682971022956141</v>
      </c>
      <c r="C212" s="3">
        <v>-6.5049569859384815E-2</v>
      </c>
      <c r="D212" s="3">
        <v>-0.36747557516545848</v>
      </c>
    </row>
    <row r="213" spans="1:4" x14ac:dyDescent="0.35">
      <c r="A213" s="5">
        <v>44838</v>
      </c>
      <c r="B213" s="3">
        <v>-0.18423450771443062</v>
      </c>
      <c r="C213" s="3">
        <v>-5.7195991597875362E-2</v>
      </c>
      <c r="D213" s="3">
        <v>-0.36295829393843893</v>
      </c>
    </row>
    <row r="214" spans="1:4" x14ac:dyDescent="0.35">
      <c r="A214" s="5">
        <v>44839</v>
      </c>
      <c r="B214" s="3">
        <v>-0.18367534413421849</v>
      </c>
      <c r="C214" s="3">
        <v>-4.9710340767697314E-2</v>
      </c>
      <c r="D214" s="3">
        <v>-0.36211786952410963</v>
      </c>
    </row>
    <row r="215" spans="1:4" x14ac:dyDescent="0.35">
      <c r="A215" s="5">
        <v>44840</v>
      </c>
      <c r="B215" s="3">
        <v>-0.18275268787032861</v>
      </c>
      <c r="C215" s="3">
        <v>-4.9790615843624098E-2</v>
      </c>
      <c r="D215" s="3">
        <v>-0.35854606576321035</v>
      </c>
    </row>
    <row r="216" spans="1:4" x14ac:dyDescent="0.35">
      <c r="A216" s="5">
        <v>44841</v>
      </c>
      <c r="B216" s="3">
        <v>-0.1831388670347639</v>
      </c>
      <c r="C216" s="3">
        <v>-5.9443693723826962E-2</v>
      </c>
      <c r="D216" s="3">
        <v>-0.36054207374724234</v>
      </c>
    </row>
    <row r="217" spans="1:4" x14ac:dyDescent="0.35">
      <c r="A217" s="5">
        <v>44844</v>
      </c>
      <c r="B217" s="3">
        <v>-0.18320670833779862</v>
      </c>
      <c r="C217" s="3">
        <v>-5.9443693723826962E-2</v>
      </c>
      <c r="D217" s="3">
        <v>-0.36054207374724234</v>
      </c>
    </row>
    <row r="218" spans="1:4" x14ac:dyDescent="0.35">
      <c r="A218" s="5">
        <v>44845</v>
      </c>
      <c r="B218" s="3">
        <v>-0.18599241912083009</v>
      </c>
      <c r="C218" s="3">
        <v>-7.227432669280065E-2</v>
      </c>
      <c r="D218" s="3">
        <v>-0.38060720663935288</v>
      </c>
    </row>
    <row r="219" spans="1:4" x14ac:dyDescent="0.35">
      <c r="A219" s="5">
        <v>44846</v>
      </c>
      <c r="B219" s="3">
        <v>-0.18819642526905034</v>
      </c>
      <c r="C219" s="3">
        <v>-7.6455320230657042E-2</v>
      </c>
      <c r="D219" s="3">
        <v>-0.40004202122071642</v>
      </c>
    </row>
    <row r="220" spans="1:4" x14ac:dyDescent="0.35">
      <c r="A220" s="5">
        <v>44847</v>
      </c>
      <c r="B220" s="3">
        <v>-0.1876372616888381</v>
      </c>
      <c r="C220" s="3">
        <v>-8.1278514375928146E-2</v>
      </c>
      <c r="D220" s="3">
        <v>-0.40928668977833804</v>
      </c>
    </row>
    <row r="221" spans="1:4" x14ac:dyDescent="0.35">
      <c r="A221" s="5">
        <v>44848</v>
      </c>
      <c r="B221" s="3">
        <v>-0.18853235969565385</v>
      </c>
      <c r="C221" s="3">
        <v>-7.5184298195148602E-2</v>
      </c>
      <c r="D221" s="3">
        <v>-0.4022481353083307</v>
      </c>
    </row>
    <row r="222" spans="1:4" x14ac:dyDescent="0.35">
      <c r="A222" s="5">
        <v>44851</v>
      </c>
      <c r="B222" s="3">
        <v>-0.18961796597037028</v>
      </c>
      <c r="C222" s="3">
        <v>-7.2642254124131944E-2</v>
      </c>
      <c r="D222" s="3">
        <v>-0.40560983296564768</v>
      </c>
    </row>
    <row r="223" spans="1:4" x14ac:dyDescent="0.35">
      <c r="A223" s="5">
        <v>44852</v>
      </c>
      <c r="B223" s="3">
        <v>-0.18811345964551041</v>
      </c>
      <c r="C223" s="3">
        <v>-6.3216622292388558E-2</v>
      </c>
      <c r="D223" s="3">
        <v>-0.38764576110936022</v>
      </c>
    </row>
    <row r="224" spans="1:4" x14ac:dyDescent="0.35">
      <c r="A224" s="5">
        <v>44853</v>
      </c>
      <c r="B224" s="3">
        <v>-0.18457305981189076</v>
      </c>
      <c r="C224" s="3">
        <v>-5.3356167132708077E-2</v>
      </c>
      <c r="D224" s="3">
        <v>-0.39867633154743143</v>
      </c>
    </row>
    <row r="225" spans="1:4" x14ac:dyDescent="0.35">
      <c r="A225" s="5">
        <v>44854</v>
      </c>
      <c r="B225" s="3">
        <v>-0.18212342888162147</v>
      </c>
      <c r="C225" s="3">
        <v>-3.8224315320498192E-2</v>
      </c>
      <c r="D225" s="3">
        <v>-0.39689042966698185</v>
      </c>
    </row>
    <row r="226" spans="1:4" x14ac:dyDescent="0.35">
      <c r="A226" s="5">
        <v>44855</v>
      </c>
      <c r="B226" s="3">
        <v>-0.18469107313967814</v>
      </c>
      <c r="C226" s="3">
        <v>-3.2404372315802066E-2</v>
      </c>
      <c r="D226" s="3">
        <v>-0.39930664985817832</v>
      </c>
    </row>
    <row r="227" spans="1:4" x14ac:dyDescent="0.35">
      <c r="A227" s="5">
        <v>44858</v>
      </c>
      <c r="B227" s="3">
        <v>-0.18475891444271297</v>
      </c>
      <c r="C227" s="3">
        <v>-3.2404372315802066E-2</v>
      </c>
      <c r="D227" s="3">
        <v>-0.39930664985817832</v>
      </c>
    </row>
    <row r="228" spans="1:4" x14ac:dyDescent="0.35">
      <c r="A228" s="5">
        <v>44859</v>
      </c>
      <c r="B228" s="3">
        <v>-0.18318184046466046</v>
      </c>
      <c r="C228" s="3">
        <v>-3.3748979837576631E-2</v>
      </c>
      <c r="D228" s="3">
        <v>-0.39710053577056414</v>
      </c>
    </row>
    <row r="229" spans="1:4" x14ac:dyDescent="0.35">
      <c r="A229" s="5">
        <v>44860</v>
      </c>
      <c r="B229" s="3">
        <v>-0.18246380764675296</v>
      </c>
      <c r="C229" s="3">
        <v>-2.6678083566353927E-2</v>
      </c>
      <c r="D229" s="3">
        <v>-0.39520958083832336</v>
      </c>
    </row>
    <row r="230" spans="1:4" x14ac:dyDescent="0.35">
      <c r="A230" s="5">
        <v>44861</v>
      </c>
      <c r="B230" s="3">
        <v>-0.18204733007765195</v>
      </c>
      <c r="C230" s="3">
        <v>-2.7273457046144811E-2</v>
      </c>
      <c r="D230" s="3">
        <v>-0.39184788318100638</v>
      </c>
    </row>
    <row r="231" spans="1:4" x14ac:dyDescent="0.35">
      <c r="A231" s="5">
        <v>44862</v>
      </c>
      <c r="B231" s="3">
        <v>-0.18163085250855104</v>
      </c>
      <c r="C231" s="3">
        <v>-3.1808998836011404E-2</v>
      </c>
      <c r="D231" s="3">
        <v>-0.39153272402563288</v>
      </c>
    </row>
    <row r="232" spans="1:4" x14ac:dyDescent="0.35">
      <c r="A232" s="5">
        <v>44865</v>
      </c>
      <c r="B232" s="3">
        <v>-0.18104011080108739</v>
      </c>
      <c r="C232" s="3">
        <v>-2.306570514964601E-2</v>
      </c>
      <c r="D232" s="3">
        <v>-0.38438911650383445</v>
      </c>
    </row>
    <row r="233" spans="1:4" x14ac:dyDescent="0.35">
      <c r="A233" s="5">
        <v>44866</v>
      </c>
      <c r="B233" s="3">
        <v>-0.18357097495354058</v>
      </c>
      <c r="C233" s="3">
        <v>-3.2738851798830515E-2</v>
      </c>
      <c r="D233" s="3">
        <v>-0.38470427565920784</v>
      </c>
    </row>
    <row r="234" spans="1:4" x14ac:dyDescent="0.35">
      <c r="A234" s="5">
        <v>44867</v>
      </c>
      <c r="B234" s="3">
        <v>-0.18189211150023799</v>
      </c>
      <c r="C234" s="3">
        <v>-2.8932475281966186E-2</v>
      </c>
      <c r="D234" s="3">
        <v>-0.38438911650383445</v>
      </c>
    </row>
    <row r="235" spans="1:4" x14ac:dyDescent="0.35">
      <c r="A235" s="5">
        <v>44868</v>
      </c>
      <c r="B235" s="3">
        <v>-0.18668983649631787</v>
      </c>
      <c r="C235" s="3">
        <v>-4.9824063791926831E-2</v>
      </c>
      <c r="D235" s="3">
        <v>-0.38859123857548061</v>
      </c>
    </row>
    <row r="236" spans="1:4" x14ac:dyDescent="0.35">
      <c r="A236" s="5">
        <v>44869</v>
      </c>
      <c r="B236" s="3">
        <v>-0.18424245447125032</v>
      </c>
      <c r="C236" s="3">
        <v>-3.784969829950624E-2</v>
      </c>
      <c r="D236" s="3">
        <v>-0.38323353293413176</v>
      </c>
    </row>
    <row r="237" spans="1:4" x14ac:dyDescent="0.35">
      <c r="A237" s="5">
        <v>44872</v>
      </c>
      <c r="B237" s="3">
        <v>-0.18255376636258791</v>
      </c>
      <c r="C237" s="3">
        <v>-3.5280895869847395E-2</v>
      </c>
      <c r="D237" s="3">
        <v>-0.38480932871099904</v>
      </c>
    </row>
    <row r="238" spans="1:4" x14ac:dyDescent="0.35">
      <c r="A238" s="5">
        <v>44873</v>
      </c>
      <c r="B238" s="3">
        <v>-0.18307035662094051</v>
      </c>
      <c r="C238" s="3">
        <v>-3.5795994273711274E-2</v>
      </c>
      <c r="D238" s="3">
        <v>-0.38880134467906291</v>
      </c>
    </row>
    <row r="239" spans="1:4" x14ac:dyDescent="0.35">
      <c r="A239" s="5">
        <v>44874</v>
      </c>
      <c r="B239" s="3">
        <v>-0.1826538790518395</v>
      </c>
      <c r="C239" s="3">
        <v>-3.2558232877995197E-2</v>
      </c>
      <c r="D239" s="3">
        <v>-0.38827607942010722</v>
      </c>
    </row>
    <row r="240" spans="1:4" x14ac:dyDescent="0.35">
      <c r="A240" s="5">
        <v>44875</v>
      </c>
      <c r="B240" s="3">
        <v>-0.17943819800037841</v>
      </c>
      <c r="C240" s="3">
        <v>-3.0183428548492763E-2</v>
      </c>
      <c r="D240" s="3">
        <v>-0.39541968694190566</v>
      </c>
    </row>
    <row r="241" spans="1:4" x14ac:dyDescent="0.35">
      <c r="A241" s="5">
        <v>44876</v>
      </c>
      <c r="B241" s="3">
        <v>-0.17955955170429005</v>
      </c>
      <c r="C241" s="3">
        <v>-1.7827756445419563E-2</v>
      </c>
      <c r="D241" s="3">
        <v>-0.36316840004202122</v>
      </c>
    </row>
    <row r="242" spans="1:4" x14ac:dyDescent="0.35">
      <c r="A242" s="5">
        <v>44879</v>
      </c>
      <c r="B242" s="3">
        <v>-0.17770669854433885</v>
      </c>
      <c r="C242" s="3">
        <v>-2.0644073692519638E-2</v>
      </c>
      <c r="D242" s="3">
        <v>-0.36474419581888851</v>
      </c>
    </row>
    <row r="243" spans="1:4" x14ac:dyDescent="0.35">
      <c r="A243" s="5">
        <v>44880</v>
      </c>
      <c r="B243" s="3">
        <v>-0.18255941965589551</v>
      </c>
      <c r="C243" s="3">
        <v>-2.9648261375647134E-2</v>
      </c>
      <c r="D243" s="3">
        <v>-0.37157264418531355</v>
      </c>
    </row>
    <row r="244" spans="1:4" x14ac:dyDescent="0.35">
      <c r="A244" s="5">
        <v>44881</v>
      </c>
      <c r="B244" s="3">
        <v>-0.18346021431378767</v>
      </c>
      <c r="C244" s="3">
        <v>-3.1093212742330234E-2</v>
      </c>
      <c r="D244" s="3">
        <v>-0.37209790944426935</v>
      </c>
    </row>
    <row r="245" spans="1:4" x14ac:dyDescent="0.35">
      <c r="A245" s="5">
        <v>44882</v>
      </c>
      <c r="B245" s="3">
        <v>-0.18458055434284515</v>
      </c>
      <c r="C245" s="3">
        <v>-3.0464391314236727E-2</v>
      </c>
      <c r="D245" s="3">
        <v>-0.38533459396995484</v>
      </c>
    </row>
    <row r="246" spans="1:4" x14ac:dyDescent="0.35">
      <c r="A246" s="5">
        <v>44883</v>
      </c>
      <c r="B246" s="3">
        <v>-0.18460311262973239</v>
      </c>
      <c r="C246" s="3">
        <v>-3.0464391314236727E-2</v>
      </c>
      <c r="D246" s="3">
        <v>-0.38533459396995484</v>
      </c>
    </row>
    <row r="247" spans="1:4" x14ac:dyDescent="0.35">
      <c r="A247" s="5">
        <v>44886</v>
      </c>
      <c r="B247" s="3">
        <v>-0.18795216749417665</v>
      </c>
      <c r="C247" s="3">
        <v>-3.1374175508074198E-2</v>
      </c>
      <c r="D247" s="3">
        <v>-0.38018699443218829</v>
      </c>
    </row>
    <row r="248" spans="1:4" x14ac:dyDescent="0.35">
      <c r="A248" s="5">
        <v>44887</v>
      </c>
      <c r="B248" s="3">
        <v>-0.18830393406512658</v>
      </c>
      <c r="C248" s="3">
        <v>-3.5836131811674665E-2</v>
      </c>
      <c r="D248" s="3">
        <v>-0.38029204748397938</v>
      </c>
    </row>
    <row r="249" spans="1:4" x14ac:dyDescent="0.35">
      <c r="A249" s="5">
        <v>44888</v>
      </c>
      <c r="B249" s="3">
        <v>-0.18680723838354851</v>
      </c>
      <c r="C249" s="3">
        <v>-3.4357732496688609E-2</v>
      </c>
      <c r="D249" s="3">
        <v>-0.37566971320516862</v>
      </c>
    </row>
    <row r="250" spans="1:4" x14ac:dyDescent="0.35">
      <c r="A250" s="5">
        <v>44889</v>
      </c>
      <c r="B250" s="3">
        <v>-0.18139599384774685</v>
      </c>
      <c r="C250" s="3">
        <v>4.6960919417204927E-3</v>
      </c>
      <c r="D250" s="3">
        <v>-0.33427881079945376</v>
      </c>
    </row>
    <row r="251" spans="1:4" x14ac:dyDescent="0.35">
      <c r="A251" s="5">
        <v>44890</v>
      </c>
      <c r="B251" s="3">
        <v>-0.18212422584390264</v>
      </c>
      <c r="C251" s="3">
        <v>-5.5657385975943496E-3</v>
      </c>
      <c r="D251" s="3">
        <v>-0.34436390377140458</v>
      </c>
    </row>
    <row r="252" spans="1:4" x14ac:dyDescent="0.35">
      <c r="A252" s="5">
        <v>44893</v>
      </c>
      <c r="B252" s="3">
        <v>-0.182192065363593</v>
      </c>
      <c r="C252" s="3">
        <v>-5.5657385975943496E-3</v>
      </c>
      <c r="D252" s="3">
        <v>-0.34436390377140458</v>
      </c>
    </row>
    <row r="253" spans="1:4" x14ac:dyDescent="0.35">
      <c r="A253" s="5">
        <v>44894</v>
      </c>
      <c r="B253" s="3">
        <v>-0.17874042792447165</v>
      </c>
      <c r="C253" s="3">
        <v>-1.1974365492420591E-2</v>
      </c>
      <c r="D253" s="3">
        <v>-0.34341842630528419</v>
      </c>
    </row>
    <row r="254" spans="1:4" x14ac:dyDescent="0.35">
      <c r="A254" s="5">
        <v>44895</v>
      </c>
      <c r="B254" s="3">
        <v>-0.17208456626746571</v>
      </c>
      <c r="C254" s="3">
        <v>-4.0538913343055594E-3</v>
      </c>
      <c r="D254" s="3">
        <v>-0.33953146338901141</v>
      </c>
    </row>
    <row r="255" spans="1:4" x14ac:dyDescent="0.35">
      <c r="A255" s="5">
        <v>44896</v>
      </c>
      <c r="B255" s="3">
        <v>-0.16567480125677314</v>
      </c>
      <c r="C255" s="3">
        <v>-2.2410125362909428E-3</v>
      </c>
      <c r="D255" s="3">
        <v>-0.29645971215463807</v>
      </c>
    </row>
    <row r="256" spans="1:4" x14ac:dyDescent="0.35">
      <c r="A256" s="5">
        <v>44897</v>
      </c>
      <c r="B256" s="3">
        <v>-0.15062145415464723</v>
      </c>
      <c r="C256" s="3">
        <v>-8.7366040967046255E-3</v>
      </c>
      <c r="D256" s="3">
        <v>-0.29341317365269459</v>
      </c>
    </row>
    <row r="257" spans="1:4" x14ac:dyDescent="0.35">
      <c r="A257" s="5">
        <v>44900</v>
      </c>
      <c r="B257" s="3">
        <v>-0.13875328004769782</v>
      </c>
      <c r="C257" s="3">
        <v>-1.558674390912862E-2</v>
      </c>
      <c r="D257" s="3">
        <v>-0.30276289526210731</v>
      </c>
    </row>
    <row r="258" spans="1:4" x14ac:dyDescent="0.35">
      <c r="A258" s="5">
        <v>44901</v>
      </c>
      <c r="B258" s="3">
        <v>-0.13883931936992799</v>
      </c>
      <c r="C258" s="3">
        <v>-1.5593433498789167E-2</v>
      </c>
      <c r="D258" s="3">
        <v>-0.30150225864061353</v>
      </c>
    </row>
    <row r="259" spans="1:4" x14ac:dyDescent="0.35">
      <c r="A259" s="5">
        <v>44902</v>
      </c>
      <c r="B259" s="3">
        <v>-0.14693912949914201</v>
      </c>
      <c r="C259" s="3">
        <v>-1.8717471870275393E-2</v>
      </c>
      <c r="D259" s="3">
        <v>-0.31085198025002636</v>
      </c>
    </row>
    <row r="260" spans="1:4" x14ac:dyDescent="0.35">
      <c r="A260" s="5">
        <v>44903</v>
      </c>
      <c r="B260" s="3">
        <v>-0.15115629873349978</v>
      </c>
      <c r="C260" s="3">
        <v>-1.9352982888029557E-2</v>
      </c>
      <c r="D260" s="3">
        <v>-0.31463389011450782</v>
      </c>
    </row>
    <row r="261" spans="1:4" x14ac:dyDescent="0.35">
      <c r="A261" s="5">
        <v>44904</v>
      </c>
      <c r="B261" s="3">
        <v>-0.1477218699035453</v>
      </c>
      <c r="C261" s="3">
        <v>-1.182050493022746E-2</v>
      </c>
      <c r="D261" s="3">
        <v>-0.30770038869629157</v>
      </c>
    </row>
    <row r="262" spans="1:4" x14ac:dyDescent="0.35">
      <c r="A262" s="5">
        <v>44907</v>
      </c>
      <c r="B262" s="3">
        <v>-0.15033920472245876</v>
      </c>
      <c r="C262" s="3">
        <v>-1.3700279624847655E-2</v>
      </c>
      <c r="D262" s="3">
        <v>-0.31022166193927936</v>
      </c>
    </row>
    <row r="263" spans="1:4" x14ac:dyDescent="0.35">
      <c r="A263" s="5">
        <v>44908</v>
      </c>
      <c r="B263" s="3">
        <v>-0.1502596261146778</v>
      </c>
      <c r="C263" s="3">
        <v>-1.6550044820250687E-2</v>
      </c>
      <c r="D263" s="3">
        <v>-0.30654480512658888</v>
      </c>
    </row>
    <row r="264" spans="1:4" x14ac:dyDescent="0.35">
      <c r="A264" s="5">
        <v>44909</v>
      </c>
      <c r="B264" s="3">
        <v>-0.1477034195940129</v>
      </c>
      <c r="C264" s="3">
        <v>-7.820130313206497E-3</v>
      </c>
      <c r="D264" s="3">
        <v>-0.29940119760479045</v>
      </c>
    </row>
    <row r="265" spans="1:4" x14ac:dyDescent="0.35">
      <c r="A265" s="5">
        <v>44910</v>
      </c>
      <c r="B265" s="3">
        <v>-0.15555449221693896</v>
      </c>
      <c r="C265" s="3">
        <v>-1.8550232128761057E-2</v>
      </c>
      <c r="D265" s="3">
        <v>-0.31368841264838743</v>
      </c>
    </row>
    <row r="266" spans="1:4" x14ac:dyDescent="0.35">
      <c r="A266" s="5">
        <v>44911</v>
      </c>
      <c r="B266" s="3">
        <v>-0.15402485594887416</v>
      </c>
      <c r="C266" s="3">
        <v>-1.0917410326050536E-2</v>
      </c>
      <c r="D266" s="3">
        <v>-0.31095703330181734</v>
      </c>
    </row>
    <row r="267" spans="1:4" x14ac:dyDescent="0.35">
      <c r="A267" s="5">
        <v>44914</v>
      </c>
      <c r="B267" s="3">
        <v>-0.15764931675478633</v>
      </c>
      <c r="C267" s="3">
        <v>-1.1887400826833261E-2</v>
      </c>
      <c r="D267" s="3">
        <v>-0.31347830654480513</v>
      </c>
    </row>
    <row r="268" spans="1:4" x14ac:dyDescent="0.35">
      <c r="A268" s="5">
        <v>44915</v>
      </c>
      <c r="B268" s="3">
        <v>-0.15717569668786791</v>
      </c>
      <c r="C268" s="3">
        <v>-1.8423129925210335E-2</v>
      </c>
      <c r="D268" s="3">
        <v>-0.32240781594705326</v>
      </c>
    </row>
    <row r="269" spans="1:4" x14ac:dyDescent="0.35">
      <c r="A269" s="5">
        <v>44916</v>
      </c>
      <c r="B269" s="3">
        <v>-0.15471422660503764</v>
      </c>
      <c r="C269" s="3">
        <v>-2.1614064193302363E-2</v>
      </c>
      <c r="D269" s="3">
        <v>-0.32986658262422519</v>
      </c>
    </row>
    <row r="270" spans="1:4" x14ac:dyDescent="0.35">
      <c r="A270" s="5">
        <v>44917</v>
      </c>
      <c r="B270" s="3">
        <v>-0.14653757124723232</v>
      </c>
      <c r="C270" s="3">
        <v>-1.7734102190171686E-2</v>
      </c>
      <c r="D270" s="3">
        <v>-0.3289211051581048</v>
      </c>
    </row>
    <row r="271" spans="1:4" x14ac:dyDescent="0.35">
      <c r="A271" s="5">
        <v>44918</v>
      </c>
      <c r="B271" s="3">
        <v>-0.14618850630022129</v>
      </c>
      <c r="C271" s="3">
        <v>-1.3499591935030586E-2</v>
      </c>
      <c r="D271" s="3">
        <v>-0.32682004412228172</v>
      </c>
    </row>
    <row r="272" spans="1:4" x14ac:dyDescent="0.35">
      <c r="A272" s="5">
        <v>44921</v>
      </c>
      <c r="B272" s="3">
        <v>-0.14625969840366926</v>
      </c>
      <c r="C272" s="3">
        <v>-1.3499591935030586E-2</v>
      </c>
      <c r="D272" s="3">
        <v>-0.32682004412228172</v>
      </c>
    </row>
    <row r="273" spans="1:4" x14ac:dyDescent="0.35">
      <c r="A273" s="5">
        <v>44922</v>
      </c>
      <c r="B273" s="3">
        <v>-0.1418852977436339</v>
      </c>
      <c r="C273" s="3">
        <v>-1.3492902345370039E-2</v>
      </c>
      <c r="D273" s="3">
        <v>-0.32639983191511712</v>
      </c>
    </row>
    <row r="274" spans="1:4" x14ac:dyDescent="0.35">
      <c r="A274" s="5">
        <v>44923</v>
      </c>
      <c r="B274" s="3">
        <v>-0.14520430342506607</v>
      </c>
      <c r="C274" s="3">
        <v>-9.867144749341028E-3</v>
      </c>
      <c r="D274" s="3">
        <v>-0.33385859859228917</v>
      </c>
    </row>
    <row r="275" spans="1:4" x14ac:dyDescent="0.35">
      <c r="A275" s="5">
        <v>44924</v>
      </c>
      <c r="B275" s="3">
        <v>-0.14777343137462895</v>
      </c>
      <c r="C275" s="3">
        <v>-2.1607374603640483E-3</v>
      </c>
      <c r="D275" s="3">
        <v>-0.33238785586721298</v>
      </c>
    </row>
    <row r="276" spans="1:4" x14ac:dyDescent="0.35">
      <c r="A276" s="5">
        <v>44925</v>
      </c>
      <c r="B276" s="3">
        <v>-0.14568904337550692</v>
      </c>
      <c r="C276" s="3">
        <v>4.2144414861589041E-4</v>
      </c>
      <c r="D276" s="3">
        <v>-0.33312322722975107</v>
      </c>
    </row>
    <row r="277" spans="1:4" x14ac:dyDescent="0.35">
      <c r="A277" s="5">
        <v>44928</v>
      </c>
      <c r="B277" s="3">
        <v>-0.14576023547895511</v>
      </c>
      <c r="C277" s="3">
        <v>4.2144414861589041E-4</v>
      </c>
      <c r="D277" s="3">
        <v>-0.33312322722975107</v>
      </c>
    </row>
    <row r="278" spans="1:4" x14ac:dyDescent="0.35">
      <c r="A278" s="5">
        <v>44929</v>
      </c>
      <c r="B278" s="3">
        <v>-0.1425713137980642</v>
      </c>
      <c r="C278" s="3">
        <v>-1.3961173621609979E-2</v>
      </c>
      <c r="D278" s="3">
        <v>-0.33417375774766256</v>
      </c>
    </row>
    <row r="279" spans="1:4" x14ac:dyDescent="0.35">
      <c r="A279" s="5">
        <v>44930</v>
      </c>
      <c r="B279" s="3">
        <v>-0.14733992906612636</v>
      </c>
      <c r="C279" s="3">
        <v>-1.4175240490748142E-2</v>
      </c>
      <c r="D279" s="3">
        <v>-0.33574955352452995</v>
      </c>
    </row>
    <row r="280" spans="1:4" x14ac:dyDescent="0.35">
      <c r="A280" s="5">
        <v>44931</v>
      </c>
      <c r="B280" s="3">
        <v>-0.15107832156503342</v>
      </c>
      <c r="C280" s="3">
        <v>-9.3185983971741937E-3</v>
      </c>
      <c r="D280" s="3">
        <v>-0.33091711314213679</v>
      </c>
    </row>
    <row r="281" spans="1:4" x14ac:dyDescent="0.35">
      <c r="A281" s="5">
        <v>44932</v>
      </c>
      <c r="B281" s="3">
        <v>-0.15329459186928618</v>
      </c>
      <c r="C281" s="3">
        <v>-9.5728028042759705E-3</v>
      </c>
      <c r="D281" s="3">
        <v>-0.33637987183527673</v>
      </c>
    </row>
    <row r="282" spans="1:4" x14ac:dyDescent="0.35">
      <c r="A282" s="5">
        <v>44935</v>
      </c>
      <c r="B282" s="3">
        <v>-0.15444332773032421</v>
      </c>
      <c r="C282" s="3">
        <v>-9.6330091112195593E-4</v>
      </c>
      <c r="D282" s="3">
        <v>-0.32062191406660356</v>
      </c>
    </row>
    <row r="283" spans="1:4" x14ac:dyDescent="0.35">
      <c r="A283" s="5">
        <v>44936</v>
      </c>
      <c r="B283" s="3">
        <v>-0.15408185740822167</v>
      </c>
      <c r="C283" s="3">
        <v>-6.5089707397346652E-3</v>
      </c>
      <c r="D283" s="3">
        <v>-0.32471898308645863</v>
      </c>
    </row>
    <row r="284" spans="1:4" x14ac:dyDescent="0.35">
      <c r="A284" s="5">
        <v>44937</v>
      </c>
      <c r="B284" s="3">
        <v>-0.14973369941518266</v>
      </c>
      <c r="C284" s="3">
        <v>-4.6760231727386303E-3</v>
      </c>
      <c r="D284" s="3">
        <v>-0.31673495115033079</v>
      </c>
    </row>
    <row r="285" spans="1:4" x14ac:dyDescent="0.35">
      <c r="A285" s="5">
        <v>44938</v>
      </c>
      <c r="B285" s="3">
        <v>-0.15186008740634716</v>
      </c>
      <c r="C285" s="3">
        <v>-4.1475455895534363E-3</v>
      </c>
      <c r="D285" s="3">
        <v>-0.3036033196764365</v>
      </c>
    </row>
    <row r="286" spans="1:4" x14ac:dyDescent="0.35">
      <c r="A286" s="5">
        <v>44939</v>
      </c>
      <c r="B286" s="3">
        <v>-0.14921203692020302</v>
      </c>
      <c r="C286" s="3">
        <v>1.1372302422985037E-4</v>
      </c>
      <c r="D286" s="3">
        <v>-0.29656476520642927</v>
      </c>
    </row>
    <row r="287" spans="1:4" x14ac:dyDescent="0.35">
      <c r="A287" s="5">
        <v>44942</v>
      </c>
      <c r="B287" s="3">
        <v>-0.14857687576352496</v>
      </c>
      <c r="C287" s="3">
        <v>-8.6964665587407897E-4</v>
      </c>
      <c r="D287" s="3">
        <v>-0.29740518962075846</v>
      </c>
    </row>
    <row r="288" spans="1:4" x14ac:dyDescent="0.35">
      <c r="A288" s="5">
        <v>44943</v>
      </c>
      <c r="B288" s="3">
        <v>-0.15132063177200383</v>
      </c>
      <c r="C288" s="3">
        <v>3.0236945265778026E-3</v>
      </c>
      <c r="D288" s="3">
        <v>-0.29992646286374613</v>
      </c>
    </row>
    <row r="289" spans="1:4" x14ac:dyDescent="0.35">
      <c r="A289" s="5">
        <v>44944</v>
      </c>
      <c r="B289" s="3">
        <v>-0.1493492058491156</v>
      </c>
      <c r="C289" s="3">
        <v>4.2813373827654821E-4</v>
      </c>
      <c r="D289" s="3">
        <v>-0.29372833280806798</v>
      </c>
    </row>
    <row r="290" spans="1:4" x14ac:dyDescent="0.35">
      <c r="A290" s="5">
        <v>44945</v>
      </c>
      <c r="B290" s="3">
        <v>-0.15003812385411353</v>
      </c>
      <c r="C290" s="3">
        <v>9.0978419383769271E-4</v>
      </c>
      <c r="D290" s="3">
        <v>-0.29593444689568238</v>
      </c>
    </row>
    <row r="291" spans="1:4" x14ac:dyDescent="0.35">
      <c r="A291" s="5">
        <v>44946</v>
      </c>
      <c r="B291" s="3">
        <v>-0.14920853221093433</v>
      </c>
      <c r="C291" s="3">
        <v>3.6592055443318561E-3</v>
      </c>
      <c r="D291" s="3">
        <v>-0.2919424309276184</v>
      </c>
    </row>
    <row r="292" spans="1:4" x14ac:dyDescent="0.35">
      <c r="A292" s="5">
        <v>44949</v>
      </c>
      <c r="B292" s="3">
        <v>-0.1492793812567641</v>
      </c>
      <c r="C292" s="3">
        <v>3.6592055443318561E-3</v>
      </c>
      <c r="D292" s="3">
        <v>-0.2919424309276184</v>
      </c>
    </row>
    <row r="293" spans="1:4" x14ac:dyDescent="0.35">
      <c r="A293" s="5">
        <v>44950</v>
      </c>
      <c r="B293" s="3">
        <v>-0.14930299760537402</v>
      </c>
      <c r="C293" s="3">
        <v>3.6592055443318561E-3</v>
      </c>
      <c r="D293" s="3">
        <v>-0.2919424309276184</v>
      </c>
    </row>
    <row r="294" spans="1:4" x14ac:dyDescent="0.35">
      <c r="A294" s="5">
        <v>44951</v>
      </c>
      <c r="B294" s="3">
        <v>-0.14461903454579961</v>
      </c>
      <c r="C294" s="3">
        <v>3.0705216542017411E-3</v>
      </c>
      <c r="D294" s="3">
        <v>-0.28458871730223767</v>
      </c>
    </row>
    <row r="295" spans="1:4" x14ac:dyDescent="0.35">
      <c r="A295" s="5">
        <v>44952</v>
      </c>
      <c r="B295" s="3">
        <v>-0.14001384656686233</v>
      </c>
      <c r="C295" s="3">
        <v>2.3614251501813399E-3</v>
      </c>
      <c r="D295" s="3">
        <v>-0.28553419476835795</v>
      </c>
    </row>
    <row r="296" spans="1:4" x14ac:dyDescent="0.35">
      <c r="A296" s="5">
        <v>44953</v>
      </c>
      <c r="B296" s="3">
        <v>-0.1402675875179088</v>
      </c>
      <c r="C296" s="3">
        <v>1.799499618693412E-3</v>
      </c>
      <c r="D296" s="3">
        <v>-0.28259270931820557</v>
      </c>
    </row>
    <row r="297" spans="1:4" x14ac:dyDescent="0.35">
      <c r="A297" s="5">
        <v>44956</v>
      </c>
      <c r="B297" s="3">
        <v>-0.13610485560448071</v>
      </c>
      <c r="C297" s="3">
        <v>3.0303841162384604E-3</v>
      </c>
      <c r="D297" s="3">
        <v>-0.2813320726967119</v>
      </c>
    </row>
    <row r="298" spans="1:4" x14ac:dyDescent="0.35">
      <c r="A298" s="5">
        <v>44957</v>
      </c>
      <c r="B298" s="3">
        <v>-0.13943956420940562</v>
      </c>
      <c r="C298" s="3">
        <v>-6.2614559222936572E-3</v>
      </c>
      <c r="D298" s="3">
        <v>-0.29057674125433341</v>
      </c>
    </row>
    <row r="299" spans="1:4" x14ac:dyDescent="0.35">
      <c r="A299" s="5">
        <v>44958</v>
      </c>
      <c r="B299" s="3">
        <v>-0.13946346143593813</v>
      </c>
      <c r="C299" s="3">
        <v>-6.2614559222936572E-3</v>
      </c>
      <c r="D299" s="3">
        <v>-0.29057674125433341</v>
      </c>
    </row>
    <row r="300" spans="1:4" x14ac:dyDescent="0.35">
      <c r="A300" s="5">
        <v>44959</v>
      </c>
      <c r="B300" s="3">
        <v>-0.13387394993590773</v>
      </c>
      <c r="C300" s="3">
        <v>-3.3849323682485499E-3</v>
      </c>
      <c r="D300" s="3">
        <v>-0.27093182056938747</v>
      </c>
    </row>
    <row r="301" spans="1:4" x14ac:dyDescent="0.35">
      <c r="A301" s="5">
        <v>44960</v>
      </c>
      <c r="B301" s="3">
        <v>-0.13225506219600613</v>
      </c>
      <c r="C301" s="3">
        <v>-2.9367298609902504E-3</v>
      </c>
      <c r="D301" s="3">
        <v>-0.27103687362117868</v>
      </c>
    </row>
    <row r="302" spans="1:4" x14ac:dyDescent="0.35">
      <c r="A302" s="5">
        <v>44963</v>
      </c>
      <c r="B302" s="3">
        <v>-0.13232730152037808</v>
      </c>
      <c r="C302" s="3">
        <v>-2.9367298609902504E-3</v>
      </c>
      <c r="D302" s="3">
        <v>-0.27103687362117868</v>
      </c>
    </row>
    <row r="303" spans="1:4" x14ac:dyDescent="0.35">
      <c r="A303" s="5">
        <v>44964</v>
      </c>
      <c r="B303" s="3">
        <v>-0.13417525413376996</v>
      </c>
      <c r="C303" s="3">
        <v>-1.2362361692733637E-2</v>
      </c>
      <c r="D303" s="3">
        <v>-0.29572434079209997</v>
      </c>
    </row>
    <row r="304" spans="1:4" x14ac:dyDescent="0.35">
      <c r="A304" s="5">
        <v>44965</v>
      </c>
      <c r="B304" s="3">
        <v>-0.13315869845182848</v>
      </c>
      <c r="C304" s="3">
        <v>-1.6128600671634685E-2</v>
      </c>
      <c r="D304" s="3">
        <v>-0.29078684735791571</v>
      </c>
    </row>
    <row r="305" spans="1:4" x14ac:dyDescent="0.35">
      <c r="A305" s="5">
        <v>44966</v>
      </c>
      <c r="B305" s="3">
        <v>-0.13941304623011486</v>
      </c>
      <c r="C305" s="3">
        <v>-2.021593995424309E-2</v>
      </c>
      <c r="D305" s="3">
        <v>-0.29761529572434076</v>
      </c>
    </row>
    <row r="306" spans="1:4" x14ac:dyDescent="0.35">
      <c r="A306" s="5">
        <v>44967</v>
      </c>
      <c r="B306" s="3">
        <v>-0.14809518839756364</v>
      </c>
      <c r="C306" s="3">
        <v>-1.355979824197584E-2</v>
      </c>
      <c r="D306" s="3">
        <v>-0.30906607836957667</v>
      </c>
    </row>
    <row r="307" spans="1:4" x14ac:dyDescent="0.35">
      <c r="A307" s="5">
        <v>44970</v>
      </c>
      <c r="B307" s="3">
        <v>-0.14762562712872296</v>
      </c>
      <c r="C307" s="3">
        <v>-1.3171802041662684E-2</v>
      </c>
      <c r="D307" s="3">
        <v>-0.3177854816682425</v>
      </c>
    </row>
    <row r="308" spans="1:4" x14ac:dyDescent="0.35">
      <c r="A308" s="5">
        <v>44971</v>
      </c>
      <c r="B308" s="3">
        <v>-0.13996952325542489</v>
      </c>
      <c r="C308" s="3">
        <v>-7.2849631403608672E-3</v>
      </c>
      <c r="D308" s="3">
        <v>-0.31148229856077314</v>
      </c>
    </row>
    <row r="309" spans="1:4" x14ac:dyDescent="0.35">
      <c r="A309" s="5">
        <v>44972</v>
      </c>
      <c r="B309" s="3">
        <v>-0.11651715621849423</v>
      </c>
      <c r="C309" s="3">
        <v>-4.4619563036002452E-3</v>
      </c>
      <c r="D309" s="3">
        <v>-0.30685996428196238</v>
      </c>
    </row>
    <row r="310" spans="1:4" x14ac:dyDescent="0.35">
      <c r="A310" s="5">
        <v>44973</v>
      </c>
      <c r="B310" s="3">
        <v>-0.11310238403625072</v>
      </c>
      <c r="C310" s="3">
        <v>-7.0909650402043445E-3</v>
      </c>
      <c r="D310" s="3">
        <v>-0.3033932135728542</v>
      </c>
    </row>
    <row r="311" spans="1:4" x14ac:dyDescent="0.35">
      <c r="A311" s="5">
        <v>44974</v>
      </c>
      <c r="B311" s="3">
        <v>-0.12894773077292654</v>
      </c>
      <c r="C311" s="3">
        <v>-1.2014503030383983E-2</v>
      </c>
      <c r="D311" s="3">
        <v>-0.32671499107049051</v>
      </c>
    </row>
    <row r="312" spans="1:4" x14ac:dyDescent="0.35">
      <c r="A312" s="5">
        <v>44977</v>
      </c>
      <c r="B312" s="3">
        <v>-0.12253473348777744</v>
      </c>
      <c r="C312" s="3">
        <v>-1.431572187362018E-2</v>
      </c>
      <c r="D312" s="3">
        <v>-0.33312322722975107</v>
      </c>
    </row>
    <row r="313" spans="1:4" x14ac:dyDescent="0.35">
      <c r="A313" s="5">
        <v>44978</v>
      </c>
      <c r="B313" s="3">
        <v>-0.12842618710140363</v>
      </c>
      <c r="C313" s="3">
        <v>-1.3947794442288886E-2</v>
      </c>
      <c r="D313" s="3">
        <v>-0.33438386385124486</v>
      </c>
    </row>
    <row r="314" spans="1:4" x14ac:dyDescent="0.35">
      <c r="A314" s="5">
        <v>44979</v>
      </c>
      <c r="B314" s="3">
        <v>-0.13557460272619981</v>
      </c>
      <c r="C314" s="3">
        <v>-2.0644073692519638E-2</v>
      </c>
      <c r="D314" s="3">
        <v>-0.34457400987498688</v>
      </c>
    </row>
    <row r="315" spans="1:4" x14ac:dyDescent="0.35">
      <c r="A315" s="5">
        <v>44980</v>
      </c>
      <c r="B315" s="3">
        <v>-0.1155524355411176</v>
      </c>
      <c r="C315" s="3">
        <v>-2.489196312698172E-2</v>
      </c>
      <c r="D315" s="3">
        <v>-0.33091711314213679</v>
      </c>
    </row>
    <row r="316" spans="1:4" x14ac:dyDescent="0.35">
      <c r="A316" s="5">
        <v>44981</v>
      </c>
      <c r="B316" s="3">
        <v>-0.10029673040613252</v>
      </c>
      <c r="C316" s="3">
        <v>-2.5460578248130195E-2</v>
      </c>
      <c r="D316" s="3">
        <v>-0.32419371782750284</v>
      </c>
    </row>
    <row r="317" spans="1:4" x14ac:dyDescent="0.35">
      <c r="A317" s="5">
        <v>44984</v>
      </c>
      <c r="B317" s="3">
        <v>-8.5730209734685037E-2</v>
      </c>
      <c r="C317" s="3">
        <v>-2.6330224904004274E-2</v>
      </c>
      <c r="D317" s="3">
        <v>-0.33280806807437757</v>
      </c>
    </row>
    <row r="318" spans="1:4" x14ac:dyDescent="0.35">
      <c r="A318" s="5">
        <v>44985</v>
      </c>
      <c r="B318" s="3">
        <v>-9.9119707307215643E-2</v>
      </c>
      <c r="C318" s="3">
        <v>-2.720656114953901E-2</v>
      </c>
      <c r="D318" s="3">
        <v>-0.32829078684735791</v>
      </c>
    </row>
    <row r="319" spans="1:4" x14ac:dyDescent="0.35">
      <c r="A319" s="5">
        <v>44986</v>
      </c>
      <c r="B319" s="3">
        <v>-8.6983093731277883E-2</v>
      </c>
      <c r="C319" s="3">
        <v>-2.9875707424106501E-2</v>
      </c>
      <c r="D319" s="3">
        <v>-0.32566446055257903</v>
      </c>
    </row>
    <row r="320" spans="1:4" x14ac:dyDescent="0.35">
      <c r="A320" s="5">
        <v>44987</v>
      </c>
      <c r="B320" s="3">
        <v>-9.1626920547826174E-2</v>
      </c>
      <c r="C320" s="3">
        <v>-2.6336914493664931E-2</v>
      </c>
      <c r="D320" s="3">
        <v>-0.329026158209896</v>
      </c>
    </row>
    <row r="321" spans="1:4" x14ac:dyDescent="0.35">
      <c r="A321" s="5">
        <v>44988</v>
      </c>
      <c r="B321" s="3">
        <v>-8.9185712929994221E-2</v>
      </c>
      <c r="C321" s="3">
        <v>-2.7634694887815558E-2</v>
      </c>
      <c r="D321" s="3">
        <v>-0.33343838638512446</v>
      </c>
    </row>
    <row r="322" spans="1:4" x14ac:dyDescent="0.35">
      <c r="A322" s="5">
        <v>44991</v>
      </c>
      <c r="B322" s="3">
        <v>-8.7221338221453837E-2</v>
      </c>
      <c r="C322" s="3">
        <v>-2.8216689188285127E-2</v>
      </c>
      <c r="D322" s="3">
        <v>-0.32639983191511712</v>
      </c>
    </row>
    <row r="323" spans="1:4" x14ac:dyDescent="0.35">
      <c r="A323" s="5">
        <v>44992</v>
      </c>
      <c r="B323" s="3">
        <v>-8.2373463277930936E-2</v>
      </c>
      <c r="C323" s="3">
        <v>-2.4209624981603506E-2</v>
      </c>
      <c r="D323" s="3">
        <v>-0.32766046853661102</v>
      </c>
    </row>
    <row r="324" spans="1:4" x14ac:dyDescent="0.35">
      <c r="A324" s="5">
        <v>44993</v>
      </c>
      <c r="B324" s="3">
        <v>-8.3004925912828265E-2</v>
      </c>
      <c r="C324" s="3">
        <v>-2.6892150435492201E-2</v>
      </c>
      <c r="D324" s="3">
        <v>-0.33312322722975107</v>
      </c>
    </row>
    <row r="325" spans="1:4" x14ac:dyDescent="0.35">
      <c r="A325" s="5">
        <v>44994</v>
      </c>
      <c r="B325" s="3">
        <v>-8.7227432152110373E-2</v>
      </c>
      <c r="C325" s="3">
        <v>-3.0323909931364801E-2</v>
      </c>
      <c r="D325" s="3">
        <v>-0.33753545540497942</v>
      </c>
    </row>
    <row r="326" spans="1:4" x14ac:dyDescent="0.35">
      <c r="A326" s="5">
        <v>44995</v>
      </c>
      <c r="B326" s="3">
        <v>-9.1748931379574405E-2</v>
      </c>
      <c r="C326" s="3">
        <v>-4.1328284923002778E-2</v>
      </c>
      <c r="D326" s="3">
        <v>-0.34425885071961337</v>
      </c>
    </row>
    <row r="327" spans="1:4" x14ac:dyDescent="0.35">
      <c r="A327" s="5">
        <v>44998</v>
      </c>
      <c r="B327" s="3">
        <v>-9.954698910535098E-2</v>
      </c>
      <c r="C327" s="3">
        <v>-4.8854073291144329E-2</v>
      </c>
      <c r="D327" s="3">
        <v>-0.34898623805021534</v>
      </c>
    </row>
    <row r="328" spans="1:4" x14ac:dyDescent="0.35">
      <c r="A328" s="5">
        <v>44999</v>
      </c>
      <c r="B328" s="3">
        <v>-0.11817819127446905</v>
      </c>
      <c r="C328" s="3">
        <v>-6.7584924340740926E-2</v>
      </c>
      <c r="D328" s="3">
        <v>-0.35791574745246346</v>
      </c>
    </row>
    <row r="329" spans="1:4" x14ac:dyDescent="0.35">
      <c r="A329" s="5">
        <v>45000</v>
      </c>
      <c r="B329" s="3">
        <v>-0.11282686188366176</v>
      </c>
      <c r="C329" s="3">
        <v>-6.082843878356492E-2</v>
      </c>
      <c r="D329" s="3">
        <v>-0.353503519277235</v>
      </c>
    </row>
    <row r="330" spans="1:4" x14ac:dyDescent="0.35">
      <c r="A330" s="5">
        <v>45001</v>
      </c>
      <c r="B330" s="3">
        <v>-0.12262569975592019</v>
      </c>
      <c r="C330" s="3">
        <v>-6.9076702835048076E-2</v>
      </c>
      <c r="D330" s="3">
        <v>-0.36096228595440694</v>
      </c>
    </row>
    <row r="331" spans="1:4" x14ac:dyDescent="0.35">
      <c r="A331" s="5">
        <v>45002</v>
      </c>
      <c r="B331" s="3">
        <v>-0.12362750708915771</v>
      </c>
      <c r="C331" s="3">
        <v>-5.5610558848320224E-2</v>
      </c>
      <c r="D331" s="3">
        <v>-0.35655005777917848</v>
      </c>
    </row>
    <row r="332" spans="1:4" x14ac:dyDescent="0.35">
      <c r="A332" s="5">
        <v>45005</v>
      </c>
      <c r="B332" s="3">
        <v>-0.13396343762897456</v>
      </c>
      <c r="C332" s="3">
        <v>-6.2246631791605833E-2</v>
      </c>
      <c r="D332" s="3">
        <v>-0.35676016388276077</v>
      </c>
    </row>
    <row r="333" spans="1:4" x14ac:dyDescent="0.35">
      <c r="A333" s="5">
        <v>45006</v>
      </c>
      <c r="B333" s="3">
        <v>-0.12941198045745084</v>
      </c>
      <c r="C333" s="3">
        <v>-5.9075766292495557E-2</v>
      </c>
      <c r="D333" s="3">
        <v>-0.35928143712574845</v>
      </c>
    </row>
    <row r="334" spans="1:4" x14ac:dyDescent="0.35">
      <c r="A334" s="5">
        <v>45007</v>
      </c>
      <c r="B334" s="3">
        <v>-0.13561909053084364</v>
      </c>
      <c r="C334" s="3">
        <v>-5.5403181568842497E-2</v>
      </c>
      <c r="D334" s="3">
        <v>-0.35507931505410228</v>
      </c>
    </row>
    <row r="335" spans="1:4" x14ac:dyDescent="0.35">
      <c r="A335" s="5">
        <v>45008</v>
      </c>
      <c r="B335" s="3">
        <v>-0.13085377371298368</v>
      </c>
      <c r="C335" s="3">
        <v>-5.6112278072862898E-2</v>
      </c>
      <c r="D335" s="3">
        <v>-0.35108729908603842</v>
      </c>
    </row>
    <row r="336" spans="1:4" x14ac:dyDescent="0.35">
      <c r="A336" s="5">
        <v>45009</v>
      </c>
      <c r="B336" s="3">
        <v>-0.12550210222493585</v>
      </c>
      <c r="C336" s="3">
        <v>-6.3658135209986089E-2</v>
      </c>
      <c r="D336" s="3">
        <v>-0.35077213993066503</v>
      </c>
    </row>
    <row r="337" spans="1:4" x14ac:dyDescent="0.35">
      <c r="A337" s="5">
        <v>45012</v>
      </c>
      <c r="B337" s="3">
        <v>-0.12901617395021203</v>
      </c>
      <c r="C337" s="3">
        <v>-6.5731908004763029E-2</v>
      </c>
      <c r="D337" s="3">
        <v>-0.35655005777917848</v>
      </c>
    </row>
    <row r="338" spans="1:4" x14ac:dyDescent="0.35">
      <c r="A338" s="5">
        <v>45013</v>
      </c>
      <c r="B338" s="3">
        <v>-9.0353809961850273E-2</v>
      </c>
      <c r="C338" s="3">
        <v>-5.7376610518710791E-2</v>
      </c>
      <c r="D338" s="3">
        <v>-0.35749553524529887</v>
      </c>
    </row>
    <row r="339" spans="1:4" x14ac:dyDescent="0.35">
      <c r="A339" s="5">
        <v>45014</v>
      </c>
      <c r="B339" s="3">
        <v>-6.301129704796915E-2</v>
      </c>
      <c r="C339" s="3">
        <v>-4.9844132560908694E-2</v>
      </c>
      <c r="D339" s="3">
        <v>-0.35224288265574122</v>
      </c>
    </row>
    <row r="340" spans="1:4" x14ac:dyDescent="0.35">
      <c r="A340" s="5">
        <v>45015</v>
      </c>
      <c r="B340" s="3">
        <v>-6.4992137812434514E-2</v>
      </c>
      <c r="C340" s="3">
        <v>-4.6994367365505774E-2</v>
      </c>
      <c r="D340" s="3">
        <v>-0.34741044227334805</v>
      </c>
    </row>
    <row r="341" spans="1:4" x14ac:dyDescent="0.35">
      <c r="A341" s="5">
        <v>45016</v>
      </c>
      <c r="B341" s="3">
        <v>-6.0130984896205164E-2</v>
      </c>
      <c r="C341" s="3">
        <v>-4.8345664476940997E-2</v>
      </c>
      <c r="D341" s="3">
        <v>-0.341947683580208</v>
      </c>
    </row>
    <row r="342" spans="1:4" x14ac:dyDescent="0.35">
      <c r="A342" s="5">
        <v>45019</v>
      </c>
      <c r="B342" s="3">
        <v>-4.9167648017342414E-2</v>
      </c>
      <c r="C342" s="3">
        <v>-4.1120907643525051E-2</v>
      </c>
      <c r="D342" s="3">
        <v>-0.33448891690303595</v>
      </c>
    </row>
    <row r="343" spans="1:4" x14ac:dyDescent="0.35">
      <c r="A343" s="5">
        <v>45020</v>
      </c>
      <c r="B343" s="3">
        <v>-5.310372112427153E-2</v>
      </c>
      <c r="C343" s="3">
        <v>-4.3649572535220726E-2</v>
      </c>
      <c r="D343" s="3">
        <v>-0.33364849248870676</v>
      </c>
    </row>
    <row r="344" spans="1:4" x14ac:dyDescent="0.35">
      <c r="A344" s="5">
        <v>45021</v>
      </c>
      <c r="B344" s="3">
        <v>-5.6062373544106148E-2</v>
      </c>
      <c r="C344" s="3">
        <v>-4.3689710073184118E-2</v>
      </c>
      <c r="D344" s="3">
        <v>-0.33574955352452995</v>
      </c>
    </row>
    <row r="345" spans="1:4" x14ac:dyDescent="0.35">
      <c r="A345" s="5">
        <v>45022</v>
      </c>
      <c r="B345" s="3">
        <v>-5.5111196602460222E-2</v>
      </c>
      <c r="C345" s="3">
        <v>-4.6807058855009687E-2</v>
      </c>
      <c r="D345" s="3">
        <v>-0.34352347935707528</v>
      </c>
    </row>
    <row r="346" spans="1:4" x14ac:dyDescent="0.35">
      <c r="A346" s="5">
        <v>45023</v>
      </c>
      <c r="B346" s="3">
        <v>-5.9047171967320566E-2</v>
      </c>
      <c r="C346" s="3">
        <v>-4.5368797077987244E-2</v>
      </c>
      <c r="D346" s="3">
        <v>-0.34657001785901875</v>
      </c>
    </row>
    <row r="347" spans="1:4" x14ac:dyDescent="0.35">
      <c r="A347" s="5">
        <v>45026</v>
      </c>
      <c r="B347" s="3">
        <v>-5.9125658848494189E-2</v>
      </c>
      <c r="C347" s="3">
        <v>-4.4639631804984981E-2</v>
      </c>
      <c r="D347" s="3">
        <v>-0.34383863851244878</v>
      </c>
    </row>
    <row r="348" spans="1:4" x14ac:dyDescent="0.35">
      <c r="A348" s="5">
        <v>45027</v>
      </c>
      <c r="B348" s="3">
        <v>-6.6971170348628872E-2</v>
      </c>
      <c r="C348" s="3">
        <v>-3.9448510228382472E-2</v>
      </c>
      <c r="D348" s="3">
        <v>-0.3412123122176699</v>
      </c>
    </row>
    <row r="349" spans="1:4" x14ac:dyDescent="0.35">
      <c r="A349" s="5">
        <v>45028</v>
      </c>
      <c r="B349" s="3">
        <v>-6.9929382929154515E-2</v>
      </c>
      <c r="C349" s="3">
        <v>-4.0217813039348127E-2</v>
      </c>
      <c r="D349" s="3">
        <v>-0.34257800189095489</v>
      </c>
    </row>
    <row r="350" spans="1:4" x14ac:dyDescent="0.35">
      <c r="A350" s="5">
        <v>45029</v>
      </c>
      <c r="B350" s="3">
        <v>-4.3564877154779857E-2</v>
      </c>
      <c r="C350" s="3">
        <v>-4.0565671701697781E-2</v>
      </c>
      <c r="D350" s="3">
        <v>-0.33753545540497942</v>
      </c>
    </row>
    <row r="351" spans="1:4" x14ac:dyDescent="0.35">
      <c r="A351" s="5">
        <v>45030</v>
      </c>
      <c r="B351" s="3">
        <v>-4.9455987120035294E-2</v>
      </c>
      <c r="C351" s="3">
        <v>-3.9956919042585803E-2</v>
      </c>
      <c r="D351" s="3">
        <v>-0.33459396995482715</v>
      </c>
    </row>
    <row r="352" spans="1:4" x14ac:dyDescent="0.35">
      <c r="A352" s="5">
        <v>45033</v>
      </c>
      <c r="B352" s="3">
        <v>-4.5625622060415427E-2</v>
      </c>
      <c r="C352" s="3">
        <v>-4.0110779604778934E-2</v>
      </c>
      <c r="D352" s="3">
        <v>-0.34005672864796721</v>
      </c>
    </row>
    <row r="353" spans="1:4" x14ac:dyDescent="0.35">
      <c r="A353" s="5">
        <v>45034</v>
      </c>
      <c r="B353" s="3">
        <v>-4.9561841780447535E-2</v>
      </c>
      <c r="C353" s="3">
        <v>-4.1809935378563923E-2</v>
      </c>
      <c r="D353" s="3">
        <v>-0.34509927513394256</v>
      </c>
    </row>
    <row r="354" spans="1:4" x14ac:dyDescent="0.35">
      <c r="A354" s="5">
        <v>45035</v>
      </c>
      <c r="B354" s="3">
        <v>-5.3497963758410871E-2</v>
      </c>
      <c r="C354" s="3">
        <v>-4.6686646241119512E-2</v>
      </c>
      <c r="D354" s="3">
        <v>-0.34699023006618346</v>
      </c>
    </row>
    <row r="355" spans="1:4" x14ac:dyDescent="0.35">
      <c r="A355" s="5">
        <v>45036</v>
      </c>
      <c r="B355" s="3">
        <v>-5.8411408681399934E-2</v>
      </c>
      <c r="C355" s="3">
        <v>-4.8666764780648353E-2</v>
      </c>
      <c r="D355" s="3">
        <v>-0.35276814791469691</v>
      </c>
    </row>
    <row r="356" spans="1:4" x14ac:dyDescent="0.35">
      <c r="A356" s="5">
        <v>45037</v>
      </c>
      <c r="B356" s="3">
        <v>-5.8437603555814066E-2</v>
      </c>
      <c r="C356" s="3">
        <v>-4.8666764780648353E-2</v>
      </c>
      <c r="D356" s="3">
        <v>-0.35276814791469691</v>
      </c>
    </row>
    <row r="357" spans="1:4" x14ac:dyDescent="0.35">
      <c r="A357" s="5">
        <v>45040</v>
      </c>
      <c r="B357" s="3">
        <v>-5.8516188179056572E-2</v>
      </c>
      <c r="C357" s="3">
        <v>-4.8666764780648353E-2</v>
      </c>
      <c r="D357" s="3">
        <v>-0.35276814791469691</v>
      </c>
    </row>
    <row r="358" spans="1:4" x14ac:dyDescent="0.35">
      <c r="A358" s="5">
        <v>45041</v>
      </c>
      <c r="B358" s="3">
        <v>-5.5070584772911602E-2</v>
      </c>
      <c r="C358" s="3">
        <v>-4.6606371165192617E-2</v>
      </c>
      <c r="D358" s="3">
        <v>-0.35486920895051999</v>
      </c>
    </row>
    <row r="359" spans="1:4" x14ac:dyDescent="0.35">
      <c r="A359" s="5">
        <v>45042</v>
      </c>
      <c r="B359" s="3">
        <v>-5.4119456702299895E-2</v>
      </c>
      <c r="C359" s="3">
        <v>-5.392478225385644E-2</v>
      </c>
      <c r="D359" s="3">
        <v>-0.35676016388276077</v>
      </c>
    </row>
    <row r="360" spans="1:4" x14ac:dyDescent="0.35">
      <c r="A360" s="5">
        <v>45043</v>
      </c>
      <c r="B360" s="3">
        <v>-5.5123170005877076E-2</v>
      </c>
      <c r="C360" s="3">
        <v>-5.1382738182839782E-2</v>
      </c>
      <c r="D360" s="3">
        <v>-0.36054207374724234</v>
      </c>
    </row>
    <row r="361" spans="1:4" x14ac:dyDescent="0.35">
      <c r="A361" s="5">
        <v>45044</v>
      </c>
      <c r="B361" s="3">
        <v>-5.5149462622359979E-2</v>
      </c>
      <c r="C361" s="3">
        <v>-5.2787552011559491E-2</v>
      </c>
      <c r="D361" s="3">
        <v>-0.35476415589872878</v>
      </c>
    </row>
    <row r="362" spans="1:4" x14ac:dyDescent="0.35">
      <c r="A362" s="5">
        <v>45047</v>
      </c>
      <c r="B362" s="3">
        <v>-5.5228340471808468E-2</v>
      </c>
      <c r="C362" s="3">
        <v>-5.2787552011559491E-2</v>
      </c>
      <c r="D362" s="3">
        <v>-0.35476415589872878</v>
      </c>
    </row>
    <row r="363" spans="1:4" x14ac:dyDescent="0.35">
      <c r="A363" s="5">
        <v>45048</v>
      </c>
      <c r="B363" s="3">
        <v>-6.0110312448673153E-2</v>
      </c>
      <c r="C363" s="3">
        <v>-4.5990928916420315E-2</v>
      </c>
      <c r="D363" s="3">
        <v>-0.3538186784326085</v>
      </c>
    </row>
    <row r="364" spans="1:4" x14ac:dyDescent="0.35">
      <c r="A364" s="5">
        <v>45049</v>
      </c>
      <c r="B364" s="3">
        <v>-6.209129982624173E-2</v>
      </c>
      <c r="C364" s="3">
        <v>-4.6071203992346987E-2</v>
      </c>
      <c r="D364" s="3">
        <v>-0.35896627797037495</v>
      </c>
    </row>
    <row r="365" spans="1:4" x14ac:dyDescent="0.35">
      <c r="A365" s="5">
        <v>45050</v>
      </c>
      <c r="B365" s="3">
        <v>-6.211739695858709E-2</v>
      </c>
      <c r="C365" s="3">
        <v>-4.6071203992346987E-2</v>
      </c>
      <c r="D365" s="3">
        <v>-0.35896627797037495</v>
      </c>
    </row>
    <row r="366" spans="1:4" x14ac:dyDescent="0.35">
      <c r="A366" s="5">
        <v>45051</v>
      </c>
      <c r="B366" s="3">
        <v>-8.0383874598315863E-2</v>
      </c>
      <c r="C366" s="3">
        <v>-4.2692961213759095E-2</v>
      </c>
      <c r="D366" s="3">
        <v>-0.36705536295829388</v>
      </c>
    </row>
    <row r="367" spans="1:4" x14ac:dyDescent="0.35">
      <c r="A367" s="5">
        <v>45054</v>
      </c>
      <c r="B367" s="3">
        <v>-0.10861056226574262</v>
      </c>
      <c r="C367" s="3">
        <v>-4.0886772005405136E-2</v>
      </c>
      <c r="D367" s="3">
        <v>-0.37115243197814896</v>
      </c>
    </row>
    <row r="368" spans="1:4" x14ac:dyDescent="0.35">
      <c r="A368" s="5">
        <v>45055</v>
      </c>
      <c r="B368" s="3">
        <v>-0.11919158104284844</v>
      </c>
      <c r="C368" s="3">
        <v>-4.1629316457728383E-2</v>
      </c>
      <c r="D368" s="3">
        <v>-0.37682529677487131</v>
      </c>
    </row>
    <row r="369" spans="1:4" x14ac:dyDescent="0.35">
      <c r="A369" s="5">
        <v>45056</v>
      </c>
      <c r="B369" s="3">
        <v>-0.13563683071631449</v>
      </c>
      <c r="C369" s="3">
        <v>-4.6278581271824715E-2</v>
      </c>
      <c r="D369" s="3">
        <v>-0.37388381132471893</v>
      </c>
    </row>
    <row r="370" spans="1:4" x14ac:dyDescent="0.35">
      <c r="A370" s="5">
        <v>45057</v>
      </c>
      <c r="B370" s="3">
        <v>-0.13800678265631217</v>
      </c>
      <c r="C370" s="3">
        <v>-4.6613060754853164E-2</v>
      </c>
      <c r="D370" s="3">
        <v>-0.38176279020905557</v>
      </c>
    </row>
    <row r="371" spans="1:4" x14ac:dyDescent="0.35">
      <c r="A371" s="5">
        <v>45058</v>
      </c>
      <c r="B371" s="3">
        <v>-0.13333920790716169</v>
      </c>
      <c r="C371" s="3">
        <v>-4.8124908018142065E-2</v>
      </c>
      <c r="D371" s="3">
        <v>-0.38029204748397938</v>
      </c>
    </row>
    <row r="372" spans="1:4" x14ac:dyDescent="0.35">
      <c r="A372" s="5">
        <v>45061</v>
      </c>
      <c r="B372" s="3">
        <v>-0.12050982832353252</v>
      </c>
      <c r="C372" s="3">
        <v>-5.1837630279758629E-2</v>
      </c>
      <c r="D372" s="3">
        <v>-0.38512448786637254</v>
      </c>
    </row>
    <row r="373" spans="1:4" x14ac:dyDescent="0.35">
      <c r="A373" s="5">
        <v>45062</v>
      </c>
      <c r="B373" s="3">
        <v>-0.12405307605631843</v>
      </c>
      <c r="C373" s="3">
        <v>-4.773691181782902E-2</v>
      </c>
      <c r="D373" s="3">
        <v>-0.38218300241622016</v>
      </c>
    </row>
    <row r="374" spans="1:4" x14ac:dyDescent="0.35">
      <c r="A374" s="5">
        <v>45063</v>
      </c>
      <c r="B374" s="3">
        <v>-0.12876913087154873</v>
      </c>
      <c r="C374" s="3">
        <v>-4.7174986286341203E-2</v>
      </c>
      <c r="D374" s="3">
        <v>-0.38323353293413176</v>
      </c>
    </row>
    <row r="375" spans="1:4" x14ac:dyDescent="0.35">
      <c r="A375" s="5">
        <v>45064</v>
      </c>
      <c r="B375" s="3">
        <v>-0.13348503907367615</v>
      </c>
      <c r="C375" s="3">
        <v>-4.4699838111930124E-2</v>
      </c>
      <c r="D375" s="3">
        <v>-0.377980880344574</v>
      </c>
    </row>
    <row r="376" spans="1:4" x14ac:dyDescent="0.35">
      <c r="A376" s="5">
        <v>45065</v>
      </c>
      <c r="B376" s="3">
        <v>-0.13233632541116858</v>
      </c>
      <c r="C376" s="3">
        <v>-4.4365358628901674E-2</v>
      </c>
      <c r="D376" s="3">
        <v>-0.38617501838428403</v>
      </c>
    </row>
    <row r="377" spans="1:4" x14ac:dyDescent="0.35">
      <c r="A377" s="5">
        <v>45068</v>
      </c>
      <c r="B377" s="3">
        <v>-0.13240889889718521</v>
      </c>
      <c r="C377" s="3">
        <v>-5.0747227165085618E-2</v>
      </c>
      <c r="D377" s="3">
        <v>-0.39289841369891798</v>
      </c>
    </row>
    <row r="378" spans="1:4" x14ac:dyDescent="0.35">
      <c r="A378" s="5">
        <v>45069</v>
      </c>
      <c r="B378" s="3">
        <v>-0.13712470935724386</v>
      </c>
      <c r="C378" s="3">
        <v>-5.5737661051871057E-2</v>
      </c>
      <c r="D378" s="3">
        <v>-0.40130265784221031</v>
      </c>
    </row>
    <row r="379" spans="1:4" x14ac:dyDescent="0.35">
      <c r="A379" s="5">
        <v>45070</v>
      </c>
      <c r="B379" s="3">
        <v>-0.15708818479390596</v>
      </c>
      <c r="C379" s="3">
        <v>-5.7022062266700591E-2</v>
      </c>
      <c r="D379" s="3">
        <v>-0.40151276394579261</v>
      </c>
    </row>
    <row r="380" spans="1:4" x14ac:dyDescent="0.35">
      <c r="A380" s="5">
        <v>45071</v>
      </c>
      <c r="B380" s="3">
        <v>-0.15595388675944066</v>
      </c>
      <c r="C380" s="3">
        <v>-6.1798429284347645E-2</v>
      </c>
      <c r="D380" s="3">
        <v>-0.39909654375459602</v>
      </c>
    </row>
    <row r="381" spans="1:4" x14ac:dyDescent="0.35">
      <c r="A381" s="5">
        <v>45072</v>
      </c>
      <c r="B381" s="3">
        <v>-0.15481958872497525</v>
      </c>
      <c r="C381" s="3">
        <v>-6.1463949801319084E-2</v>
      </c>
      <c r="D381" s="3">
        <v>-0.38018699443218829</v>
      </c>
    </row>
    <row r="382" spans="1:4" x14ac:dyDescent="0.35">
      <c r="A382" s="5">
        <v>45075</v>
      </c>
      <c r="B382" s="3">
        <v>-0.15604820254105767</v>
      </c>
      <c r="C382" s="3">
        <v>-6.015947981750791E-2</v>
      </c>
      <c r="D382" s="3">
        <v>-0.37251812165143394</v>
      </c>
    </row>
    <row r="383" spans="1:4" x14ac:dyDescent="0.35">
      <c r="A383" s="5">
        <v>45076</v>
      </c>
      <c r="B383" s="3">
        <v>-0.15259822291190317</v>
      </c>
      <c r="C383" s="3">
        <v>-6.5524530725285191E-2</v>
      </c>
      <c r="D383" s="3">
        <v>-0.37482928879083943</v>
      </c>
    </row>
    <row r="384" spans="1:4" x14ac:dyDescent="0.35">
      <c r="A384" s="5">
        <v>45077</v>
      </c>
      <c r="B384" s="3">
        <v>-0.11904447903852222</v>
      </c>
      <c r="C384" s="3">
        <v>-7.2073639002983581E-2</v>
      </c>
      <c r="D384" s="3">
        <v>-0.36978674230486397</v>
      </c>
    </row>
    <row r="385" spans="1:4" x14ac:dyDescent="0.35">
      <c r="A385" s="5">
        <v>45078</v>
      </c>
      <c r="B385" s="3">
        <v>-0.12131461889518258</v>
      </c>
      <c r="C385" s="3">
        <v>-7.4823060353477855E-2</v>
      </c>
      <c r="D385" s="3">
        <v>-0.36957663620128167</v>
      </c>
    </row>
    <row r="386" spans="1:4" x14ac:dyDescent="0.35">
      <c r="A386" s="5">
        <v>45079</v>
      </c>
      <c r="B386" s="3">
        <v>-0.12828617130946063</v>
      </c>
      <c r="C386" s="3">
        <v>-7.5993738544077649E-2</v>
      </c>
      <c r="D386" s="3">
        <v>-0.36232797562769192</v>
      </c>
    </row>
    <row r="387" spans="1:4" x14ac:dyDescent="0.35">
      <c r="A387" s="5">
        <v>45082</v>
      </c>
      <c r="B387" s="3">
        <v>-0.12835911527969335</v>
      </c>
      <c r="C387" s="3">
        <v>-7.5993738544077649E-2</v>
      </c>
      <c r="D387" s="3">
        <v>-0.36232797562769192</v>
      </c>
    </row>
    <row r="388" spans="1:4" x14ac:dyDescent="0.35">
      <c r="A388" s="5">
        <v>45083</v>
      </c>
      <c r="B388" s="3">
        <v>-0.12490990754440379</v>
      </c>
      <c r="C388" s="3">
        <v>-7.4716026918908662E-2</v>
      </c>
      <c r="D388" s="3">
        <v>-0.3651644080260531</v>
      </c>
    </row>
    <row r="389" spans="1:4" x14ac:dyDescent="0.35">
      <c r="A389" s="5">
        <v>45084</v>
      </c>
      <c r="B389" s="3">
        <v>-0.12725000028257039</v>
      </c>
      <c r="C389" s="3">
        <v>-7.7739721445486465E-2</v>
      </c>
      <c r="D389" s="3">
        <v>-0.36852610568337008</v>
      </c>
    </row>
    <row r="390" spans="1:4" x14ac:dyDescent="0.35">
      <c r="A390" s="5">
        <v>45085</v>
      </c>
      <c r="B390" s="3">
        <v>-0.12495868158799195</v>
      </c>
      <c r="C390" s="3">
        <v>-8.0422246899375049E-2</v>
      </c>
      <c r="D390" s="3">
        <v>-0.37262317470322515</v>
      </c>
    </row>
    <row r="391" spans="1:4" x14ac:dyDescent="0.35">
      <c r="A391" s="5">
        <v>45086</v>
      </c>
      <c r="B391" s="3">
        <v>-0.12845661512350304</v>
      </c>
      <c r="C391" s="3">
        <v>-7.9458945988253094E-2</v>
      </c>
      <c r="D391" s="3">
        <v>-0.36695030990650279</v>
      </c>
    </row>
    <row r="392" spans="1:4" x14ac:dyDescent="0.35">
      <c r="A392" s="5">
        <v>45089</v>
      </c>
      <c r="B392" s="3">
        <v>-0.12852955394243881</v>
      </c>
      <c r="C392" s="3">
        <v>-7.2307774641103495E-2</v>
      </c>
      <c r="D392" s="3">
        <v>-0.36358861224918582</v>
      </c>
    </row>
    <row r="393" spans="1:4" x14ac:dyDescent="0.35">
      <c r="A393" s="5">
        <v>45090</v>
      </c>
      <c r="B393" s="3">
        <v>-0.13083175363211419</v>
      </c>
      <c r="C393" s="3">
        <v>-7.6428561872014744E-2</v>
      </c>
      <c r="D393" s="3">
        <v>-0.3415274713730434</v>
      </c>
    </row>
    <row r="394" spans="1:4" x14ac:dyDescent="0.35">
      <c r="A394" s="5">
        <v>45091</v>
      </c>
      <c r="B394" s="3">
        <v>-0.13313390586647467</v>
      </c>
      <c r="C394" s="3">
        <v>-7.3210869245280419E-2</v>
      </c>
      <c r="D394" s="3">
        <v>-0.33301817417795987</v>
      </c>
    </row>
    <row r="395" spans="1:4" x14ac:dyDescent="0.35">
      <c r="A395" s="5">
        <v>45092</v>
      </c>
      <c r="B395" s="3">
        <v>-0.11265741205867075</v>
      </c>
      <c r="C395" s="3">
        <v>-7.567932783003084E-2</v>
      </c>
      <c r="D395" s="3">
        <v>-0.34131736526946099</v>
      </c>
    </row>
    <row r="396" spans="1:4" x14ac:dyDescent="0.35">
      <c r="A396" s="5">
        <v>45093</v>
      </c>
      <c r="B396" s="3">
        <v>-0.11837682151590978</v>
      </c>
      <c r="C396" s="3">
        <v>-7.1076890143558558E-2</v>
      </c>
      <c r="D396" s="3">
        <v>-0.34110725916587881</v>
      </c>
    </row>
    <row r="397" spans="1:4" x14ac:dyDescent="0.35">
      <c r="A397" s="5">
        <v>45096</v>
      </c>
      <c r="B397" s="3">
        <v>-0.10592250631879863</v>
      </c>
      <c r="C397" s="3">
        <v>-7.1933157620111543E-2</v>
      </c>
      <c r="D397" s="3">
        <v>-0.3406870469587141</v>
      </c>
    </row>
    <row r="398" spans="1:4" x14ac:dyDescent="0.35">
      <c r="A398" s="5">
        <v>45097</v>
      </c>
      <c r="B398" s="3">
        <v>-0.1207535260499113</v>
      </c>
      <c r="C398" s="3">
        <v>-7.1264198654054534E-2</v>
      </c>
      <c r="D398" s="3">
        <v>-0.34930139720558884</v>
      </c>
    </row>
    <row r="399" spans="1:4" x14ac:dyDescent="0.35">
      <c r="A399" s="5">
        <v>45098</v>
      </c>
      <c r="B399" s="3">
        <v>-0.11280561500697017</v>
      </c>
      <c r="C399" s="3">
        <v>-6.7839128747842481E-2</v>
      </c>
      <c r="D399" s="3">
        <v>-0.34804076058409494</v>
      </c>
    </row>
    <row r="400" spans="1:4" x14ac:dyDescent="0.35">
      <c r="A400" s="5">
        <v>45099</v>
      </c>
      <c r="B400" s="3">
        <v>-0.11283038668132572</v>
      </c>
      <c r="C400" s="3">
        <v>-6.7022998809252887E-2</v>
      </c>
      <c r="D400" s="3">
        <v>-0.35161256434499422</v>
      </c>
    </row>
    <row r="401" spans="1:4" x14ac:dyDescent="0.35">
      <c r="A401" s="5">
        <v>45100</v>
      </c>
      <c r="B401" s="3">
        <v>-0.11171623079910453</v>
      </c>
      <c r="C401" s="3">
        <v>-6.9551663700948452E-2</v>
      </c>
      <c r="D401" s="3">
        <v>-0.3531883601218615</v>
      </c>
    </row>
    <row r="402" spans="1:4" x14ac:dyDescent="0.35">
      <c r="A402" s="5">
        <v>45103</v>
      </c>
      <c r="B402" s="3">
        <v>-0.11634639841442251</v>
      </c>
      <c r="C402" s="3">
        <v>-7.0227312256666008E-2</v>
      </c>
      <c r="D402" s="3">
        <v>-0.36085723290261573</v>
      </c>
    </row>
    <row r="403" spans="1:4" x14ac:dyDescent="0.35">
      <c r="A403" s="5">
        <v>45104</v>
      </c>
      <c r="B403" s="3">
        <v>-0.11751000273472523</v>
      </c>
      <c r="C403" s="3">
        <v>-7.2327843410085135E-2</v>
      </c>
      <c r="D403" s="3">
        <v>-0.36169765731694503</v>
      </c>
    </row>
    <row r="404" spans="1:4" x14ac:dyDescent="0.35">
      <c r="A404" s="5">
        <v>45105</v>
      </c>
      <c r="B404" s="3">
        <v>-0.11639570448655945</v>
      </c>
      <c r="C404" s="3">
        <v>-7.1237440295412235E-2</v>
      </c>
      <c r="D404" s="3">
        <v>-0.36211786952410963</v>
      </c>
    </row>
    <row r="405" spans="1:4" x14ac:dyDescent="0.35">
      <c r="A405" s="5">
        <v>45106</v>
      </c>
      <c r="B405" s="3">
        <v>-0.11642038125028531</v>
      </c>
      <c r="C405" s="3">
        <v>-7.1237440295412235E-2</v>
      </c>
      <c r="D405" s="3">
        <v>-0.36211786952410963</v>
      </c>
    </row>
    <row r="406" spans="1:4" x14ac:dyDescent="0.35">
      <c r="A406" s="5">
        <v>45107</v>
      </c>
      <c r="B406" s="3">
        <v>-0.11986184068374139</v>
      </c>
      <c r="C406" s="3">
        <v>-7.9057570608618732E-2</v>
      </c>
      <c r="D406" s="3">
        <v>-0.36033196764366004</v>
      </c>
    </row>
    <row r="407" spans="1:4" x14ac:dyDescent="0.35">
      <c r="A407" s="5">
        <v>45110</v>
      </c>
      <c r="B407" s="3">
        <v>-0.11760168640302959</v>
      </c>
      <c r="C407" s="3">
        <v>-6.6206868870663294E-2</v>
      </c>
      <c r="D407" s="3">
        <v>-0.35434394369156419</v>
      </c>
    </row>
    <row r="408" spans="1:4" x14ac:dyDescent="0.35">
      <c r="A408" s="5">
        <v>45111</v>
      </c>
      <c r="B408" s="3">
        <v>-0.11916030876420491</v>
      </c>
      <c r="C408" s="3">
        <v>-6.8481329355257303E-2</v>
      </c>
      <c r="D408" s="3">
        <v>-0.35098224603424721</v>
      </c>
    </row>
    <row r="409" spans="1:4" x14ac:dyDescent="0.35">
      <c r="A409" s="5">
        <v>45112</v>
      </c>
      <c r="B409" s="3">
        <v>-0.11799980564530799</v>
      </c>
      <c r="C409" s="3">
        <v>-7.0213933077344914E-2</v>
      </c>
      <c r="D409" s="3">
        <v>-0.35192772350036772</v>
      </c>
    </row>
    <row r="410" spans="1:4" x14ac:dyDescent="0.35">
      <c r="A410" s="5">
        <v>45113</v>
      </c>
      <c r="B410" s="3">
        <v>-0.11802445584839705</v>
      </c>
      <c r="C410" s="3">
        <v>-7.2856320993270218E-2</v>
      </c>
      <c r="D410" s="3">
        <v>-0.3545540497951466</v>
      </c>
    </row>
    <row r="411" spans="1:4" x14ac:dyDescent="0.35">
      <c r="A411" s="5">
        <v>45114</v>
      </c>
      <c r="B411" s="3">
        <v>-0.11804910605148633</v>
      </c>
      <c r="C411" s="3">
        <v>-7.839530123222227E-2</v>
      </c>
      <c r="D411" s="3">
        <v>-0.35665511083096957</v>
      </c>
    </row>
    <row r="412" spans="1:4" x14ac:dyDescent="0.35">
      <c r="A412" s="5">
        <v>45117</v>
      </c>
      <c r="B412" s="3">
        <v>-0.11338263298975615</v>
      </c>
      <c r="C412" s="3">
        <v>-7.478961240517501E-2</v>
      </c>
      <c r="D412" s="3">
        <v>-0.35434394369156419</v>
      </c>
    </row>
    <row r="413" spans="1:4" x14ac:dyDescent="0.35">
      <c r="A413" s="5">
        <v>45118</v>
      </c>
      <c r="B413" s="3">
        <v>-0.11222227208356939</v>
      </c>
      <c r="C413" s="3">
        <v>-6.9170357090295953E-2</v>
      </c>
      <c r="D413" s="3">
        <v>-0.34583464649648066</v>
      </c>
    </row>
    <row r="414" spans="1:4" x14ac:dyDescent="0.35">
      <c r="A414" s="5">
        <v>45119</v>
      </c>
      <c r="B414" s="3">
        <v>-9.0915157979878702E-2</v>
      </c>
      <c r="C414" s="3">
        <v>-6.4755227914319757E-2</v>
      </c>
      <c r="D414" s="3">
        <v>-0.34541443428931606</v>
      </c>
    </row>
    <row r="415" spans="1:4" x14ac:dyDescent="0.35">
      <c r="A415" s="5">
        <v>45120</v>
      </c>
      <c r="B415" s="3">
        <v>-7.7904354151274724E-2</v>
      </c>
      <c r="C415" s="3">
        <v>-6.5979422822204037E-2</v>
      </c>
      <c r="D415" s="3">
        <v>-0.33753545540497942</v>
      </c>
    </row>
    <row r="416" spans="1:4" x14ac:dyDescent="0.35">
      <c r="A416" s="5">
        <v>45121</v>
      </c>
      <c r="B416" s="3">
        <v>-5.3042870379070184E-2</v>
      </c>
      <c r="C416" s="3">
        <v>-5.5369733620539763E-2</v>
      </c>
      <c r="D416" s="3">
        <v>-0.30917113142136776</v>
      </c>
    </row>
    <row r="417" spans="1:4" x14ac:dyDescent="0.35">
      <c r="A417" s="5">
        <v>45124</v>
      </c>
      <c r="B417" s="3">
        <v>-6.141782428285858E-2</v>
      </c>
      <c r="C417" s="3">
        <v>-5.9376797827221273E-2</v>
      </c>
      <c r="D417" s="3">
        <v>-0.29793045487971426</v>
      </c>
    </row>
    <row r="418" spans="1:4" x14ac:dyDescent="0.35">
      <c r="A418" s="5">
        <v>45125</v>
      </c>
      <c r="B418" s="3">
        <v>-7.0924886167754719E-2</v>
      </c>
      <c r="C418" s="3">
        <v>-6.1430501853016239E-2</v>
      </c>
      <c r="D418" s="3">
        <v>-0.30213257695136031</v>
      </c>
    </row>
    <row r="419" spans="1:4" x14ac:dyDescent="0.35">
      <c r="A419" s="5">
        <v>45126</v>
      </c>
      <c r="B419" s="3">
        <v>-7.0950863689471677E-2</v>
      </c>
      <c r="C419" s="3">
        <v>-6.1430501853016239E-2</v>
      </c>
      <c r="D419" s="3">
        <v>-0.30213257695136031</v>
      </c>
    </row>
    <row r="420" spans="1:4" x14ac:dyDescent="0.35">
      <c r="A420" s="5">
        <v>45127</v>
      </c>
      <c r="B420" s="3">
        <v>-5.4385358362696756E-2</v>
      </c>
      <c r="C420" s="3">
        <v>-5.8982112037247569E-2</v>
      </c>
      <c r="D420" s="3">
        <v>-0.31211261687152003</v>
      </c>
    </row>
    <row r="421" spans="1:4" x14ac:dyDescent="0.35">
      <c r="A421" s="5">
        <v>45128</v>
      </c>
      <c r="B421" s="3">
        <v>-2.0043738312047421E-2</v>
      </c>
      <c r="C421" s="3">
        <v>-5.4413122299078132E-2</v>
      </c>
      <c r="D421" s="3">
        <v>-0.31673495115033079</v>
      </c>
    </row>
    <row r="422" spans="1:4" x14ac:dyDescent="0.35">
      <c r="A422" s="5">
        <v>45131</v>
      </c>
      <c r="B422" s="3">
        <v>-5.9045240327989523E-3</v>
      </c>
      <c r="C422" s="3">
        <v>-4.6940850648221177E-2</v>
      </c>
      <c r="D422" s="3">
        <v>-0.31978148965227438</v>
      </c>
    </row>
    <row r="423" spans="1:4" x14ac:dyDescent="0.35">
      <c r="A423" s="5">
        <v>45132</v>
      </c>
      <c r="B423" s="3">
        <v>-1.9406056519824522E-2</v>
      </c>
      <c r="C423" s="3">
        <v>-3.8846447158931263E-2</v>
      </c>
      <c r="D423" s="3">
        <v>-0.31936127744510967</v>
      </c>
    </row>
    <row r="424" spans="1:4" x14ac:dyDescent="0.35">
      <c r="A424" s="5">
        <v>45133</v>
      </c>
      <c r="B424" s="3">
        <v>-2.7018134042239406E-2</v>
      </c>
      <c r="C424" s="3">
        <v>-3.0484460083218479E-2</v>
      </c>
      <c r="D424" s="3">
        <v>-0.32345834646496474</v>
      </c>
    </row>
    <row r="425" spans="1:4" x14ac:dyDescent="0.35">
      <c r="A425" s="5">
        <v>45134</v>
      </c>
      <c r="B425" s="3">
        <v>-2.4329318331812733E-2</v>
      </c>
      <c r="C425" s="3">
        <v>-2.9159921330425553E-2</v>
      </c>
      <c r="D425" s="3">
        <v>-0.32429877087929415</v>
      </c>
    </row>
    <row r="426" spans="1:4" x14ac:dyDescent="0.35">
      <c r="A426" s="5">
        <v>45135</v>
      </c>
      <c r="B426" s="3">
        <v>-1.7340748734844147E-2</v>
      </c>
      <c r="C426" s="3">
        <v>-2.9775363579198078E-2</v>
      </c>
      <c r="D426" s="3">
        <v>-0.3285008929509402</v>
      </c>
    </row>
    <row r="427" spans="1:4" x14ac:dyDescent="0.35">
      <c r="A427" s="5">
        <v>45138</v>
      </c>
      <c r="B427" s="3">
        <v>-2.0753569352542245E-2</v>
      </c>
      <c r="C427" s="3">
        <v>-2.3701216167400174E-2</v>
      </c>
      <c r="D427" s="3">
        <v>-0.3287109990545225</v>
      </c>
    </row>
    <row r="428" spans="1:4" x14ac:dyDescent="0.35">
      <c r="A428" s="5">
        <v>45139</v>
      </c>
      <c r="B428" s="3">
        <v>-2.2169770924252874E-2</v>
      </c>
      <c r="C428" s="3">
        <v>-2.9179990099407194E-2</v>
      </c>
      <c r="D428" s="3">
        <v>-0.33049690093497219</v>
      </c>
    </row>
    <row r="429" spans="1:4" x14ac:dyDescent="0.35">
      <c r="A429" s="5">
        <v>45140</v>
      </c>
      <c r="B429" s="3">
        <v>-4.2106855182788339E-2</v>
      </c>
      <c r="C429" s="3">
        <v>-3.3648635992668208E-2</v>
      </c>
      <c r="D429" s="3">
        <v>-0.33469902300661836</v>
      </c>
    </row>
    <row r="430" spans="1:4" x14ac:dyDescent="0.35">
      <c r="A430" s="5">
        <v>45141</v>
      </c>
      <c r="B430" s="3">
        <v>-2.8386409930636014E-2</v>
      </c>
      <c r="C430" s="3">
        <v>-3.5461514790682713E-2</v>
      </c>
      <c r="D430" s="3">
        <v>-0.33133732534930138</v>
      </c>
    </row>
    <row r="431" spans="1:4" x14ac:dyDescent="0.35">
      <c r="A431" s="5">
        <v>45142</v>
      </c>
      <c r="B431" s="3">
        <v>-2.8887614925370619E-2</v>
      </c>
      <c r="C431" s="3">
        <v>-3.3213812664731002E-2</v>
      </c>
      <c r="D431" s="3">
        <v>-0.33070700703855449</v>
      </c>
    </row>
    <row r="432" spans="1:4" x14ac:dyDescent="0.35">
      <c r="A432" s="5">
        <v>45145</v>
      </c>
      <c r="B432" s="3">
        <v>-4.019442606119783E-2</v>
      </c>
      <c r="C432" s="3">
        <v>-3.2812437285096863E-2</v>
      </c>
      <c r="D432" s="3">
        <v>-0.33333333333333326</v>
      </c>
    </row>
    <row r="433" spans="1:4" x14ac:dyDescent="0.35">
      <c r="A433" s="5">
        <v>45146</v>
      </c>
      <c r="B433" s="3">
        <v>-3.9601877358898752E-2</v>
      </c>
      <c r="C433" s="3">
        <v>-2.9340540251260872E-2</v>
      </c>
      <c r="D433" s="3">
        <v>-0.33238785586721298</v>
      </c>
    </row>
    <row r="434" spans="1:4" x14ac:dyDescent="0.35">
      <c r="A434" s="5">
        <v>45147</v>
      </c>
      <c r="B434" s="3">
        <v>-3.673855255386449E-2</v>
      </c>
      <c r="C434" s="3">
        <v>-2.1961922855652016E-2</v>
      </c>
      <c r="D434" s="3">
        <v>-0.32724025632944631</v>
      </c>
    </row>
    <row r="435" spans="1:4" x14ac:dyDescent="0.35">
      <c r="A435" s="5">
        <v>45148</v>
      </c>
      <c r="B435" s="3">
        <v>-3.5526783851768662E-2</v>
      </c>
      <c r="C435" s="3">
        <v>-2.4035695650428734E-2</v>
      </c>
      <c r="D435" s="3">
        <v>-0.32745036243302872</v>
      </c>
    </row>
    <row r="436" spans="1:4" x14ac:dyDescent="0.35">
      <c r="A436" s="5">
        <v>45149</v>
      </c>
      <c r="B436" s="3">
        <v>-1.6768150188104403E-2</v>
      </c>
      <c r="C436" s="3">
        <v>-2.5219753020349622E-2</v>
      </c>
      <c r="D436" s="3">
        <v>-0.32366845256854715</v>
      </c>
    </row>
    <row r="437" spans="1:4" x14ac:dyDescent="0.35">
      <c r="A437" s="5">
        <v>45152</v>
      </c>
      <c r="B437" s="3">
        <v>-9.0989135524035536E-3</v>
      </c>
      <c r="C437" s="3">
        <v>-2.5326786454918815E-2</v>
      </c>
      <c r="D437" s="3">
        <v>-0.32230276289526205</v>
      </c>
    </row>
    <row r="438" spans="1:4" x14ac:dyDescent="0.35">
      <c r="A438" s="5">
        <v>45153</v>
      </c>
      <c r="B438" s="3">
        <v>9.0397685245333648E-3</v>
      </c>
      <c r="C438" s="3">
        <v>-2.3132601046251811E-2</v>
      </c>
      <c r="D438" s="3">
        <v>-0.3175753755646602</v>
      </c>
    </row>
    <row r="439" spans="1:4" x14ac:dyDescent="0.35">
      <c r="A439" s="5">
        <v>45154</v>
      </c>
      <c r="B439" s="3">
        <v>2.2407040901362363E-2</v>
      </c>
      <c r="C439" s="3">
        <v>-2.097186358588754E-2</v>
      </c>
      <c r="D439" s="3">
        <v>-0.32240781594705326</v>
      </c>
    </row>
    <row r="440" spans="1:4" x14ac:dyDescent="0.35">
      <c r="A440" s="5">
        <v>45155</v>
      </c>
      <c r="B440" s="3">
        <v>2.5314594029901771E-2</v>
      </c>
      <c r="C440" s="3">
        <v>-3.1360796328753104E-2</v>
      </c>
      <c r="D440" s="3">
        <v>-0.32986658262422519</v>
      </c>
    </row>
    <row r="441" spans="1:4" x14ac:dyDescent="0.35">
      <c r="A441" s="5">
        <v>45156</v>
      </c>
      <c r="B441" s="3">
        <v>4.4061423216285478E-2</v>
      </c>
      <c r="C441" s="3">
        <v>-3.2625128774600998E-2</v>
      </c>
      <c r="D441" s="3">
        <v>-0.33585460657632105</v>
      </c>
    </row>
    <row r="442" spans="1:4" x14ac:dyDescent="0.35">
      <c r="A442" s="5">
        <v>45159</v>
      </c>
      <c r="B442" s="3">
        <v>3.553072224985776E-2</v>
      </c>
      <c r="C442" s="3">
        <v>-2.9628192606665493E-2</v>
      </c>
      <c r="D442" s="3">
        <v>-0.3401617816997583</v>
      </c>
    </row>
    <row r="443" spans="1:4" x14ac:dyDescent="0.35">
      <c r="A443" s="5">
        <v>45160</v>
      </c>
      <c r="B443" s="3">
        <v>4.2159480152322182E-2</v>
      </c>
      <c r="C443" s="3">
        <v>-2.8985991999250671E-2</v>
      </c>
      <c r="D443" s="3">
        <v>-0.33196764366004827</v>
      </c>
    </row>
    <row r="444" spans="1:4" x14ac:dyDescent="0.35">
      <c r="A444" s="5">
        <v>45161</v>
      </c>
      <c r="B444" s="3">
        <v>4.9664921278754326E-2</v>
      </c>
      <c r="C444" s="3">
        <v>-3.6625503391621961E-2</v>
      </c>
      <c r="D444" s="3">
        <v>-0.33301817417795987</v>
      </c>
    </row>
    <row r="445" spans="1:4" x14ac:dyDescent="0.35">
      <c r="A445" s="5">
        <v>45162</v>
      </c>
      <c r="B445" s="3">
        <v>4.2999043579105667E-2</v>
      </c>
      <c r="C445" s="3">
        <v>-3.357505050640186E-2</v>
      </c>
      <c r="D445" s="3">
        <v>-0.32986658262422519</v>
      </c>
    </row>
    <row r="446" spans="1:4" x14ac:dyDescent="0.35">
      <c r="A446" s="5">
        <v>45163</v>
      </c>
      <c r="B446" s="3">
        <v>2.8355981818726894E-2</v>
      </c>
      <c r="C446" s="3">
        <v>-3.3748979837576631E-2</v>
      </c>
      <c r="D446" s="3">
        <v>-0.33616976573169455</v>
      </c>
    </row>
    <row r="447" spans="1:4" x14ac:dyDescent="0.35">
      <c r="A447" s="5">
        <v>45166</v>
      </c>
      <c r="B447" s="3">
        <v>3.3971430962004279E-2</v>
      </c>
      <c r="C447" s="3">
        <v>-3.3983115475696657E-2</v>
      </c>
      <c r="D447" s="3">
        <v>-0.34257800189095489</v>
      </c>
    </row>
    <row r="448" spans="1:4" x14ac:dyDescent="0.35">
      <c r="A448" s="5">
        <v>45167</v>
      </c>
      <c r="B448" s="3">
        <v>3.3496992539372439E-2</v>
      </c>
      <c r="C448" s="3">
        <v>-2.7039321408024675E-2</v>
      </c>
      <c r="D448" s="3">
        <v>-0.33648492488706794</v>
      </c>
    </row>
    <row r="449" spans="1:4" x14ac:dyDescent="0.35">
      <c r="A449" s="5">
        <v>45168</v>
      </c>
      <c r="B449" s="3">
        <v>3.4300563744760204E-4</v>
      </c>
      <c r="C449" s="3">
        <v>-2.8711718823167254E-2</v>
      </c>
      <c r="D449" s="3">
        <v>-0.32692509717407292</v>
      </c>
    </row>
    <row r="450" spans="1:4" x14ac:dyDescent="0.35">
      <c r="A450" s="5">
        <v>45169</v>
      </c>
      <c r="B450" s="3">
        <v>3.1520638426330017E-4</v>
      </c>
      <c r="C450" s="3">
        <v>-2.8711718823167254E-2</v>
      </c>
      <c r="D450" s="3">
        <v>-0.32692509717407292</v>
      </c>
    </row>
    <row r="451" spans="1:4" x14ac:dyDescent="0.35">
      <c r="A451" s="5">
        <v>45170</v>
      </c>
      <c r="B451" s="3">
        <v>-1.2936463783313701E-2</v>
      </c>
      <c r="C451" s="3">
        <v>-2.1025380303172136E-2</v>
      </c>
      <c r="D451" s="3">
        <v>-0.3294463704170606</v>
      </c>
    </row>
    <row r="452" spans="1:4" x14ac:dyDescent="0.35">
      <c r="A452" s="5">
        <v>45173</v>
      </c>
      <c r="B452" s="3">
        <v>2.2762267718980933E-3</v>
      </c>
      <c r="C452" s="3">
        <v>-2.1500341169072623E-2</v>
      </c>
      <c r="D452" s="3">
        <v>-0.32965647652064289</v>
      </c>
    </row>
    <row r="453" spans="1:4" x14ac:dyDescent="0.35">
      <c r="A453" s="5">
        <v>45174</v>
      </c>
      <c r="B453" s="3">
        <v>-7.1192200012250018E-3</v>
      </c>
      <c r="C453" s="3">
        <v>-2.6778427411262573E-2</v>
      </c>
      <c r="D453" s="3">
        <v>-0.33175753755646598</v>
      </c>
    </row>
    <row r="454" spans="1:4" x14ac:dyDescent="0.35">
      <c r="A454" s="5">
        <v>45175</v>
      </c>
      <c r="B454" s="3">
        <v>-5.3903348447399413E-3</v>
      </c>
      <c r="C454" s="3">
        <v>-2.2905154997792443E-2</v>
      </c>
      <c r="D454" s="3">
        <v>-0.33123227229751029</v>
      </c>
    </row>
    <row r="455" spans="1:4" x14ac:dyDescent="0.35">
      <c r="A455" s="5">
        <v>45176</v>
      </c>
      <c r="B455" s="3">
        <v>-1.0394497043643036E-2</v>
      </c>
      <c r="C455" s="3">
        <v>-2.3273082429123737E-2</v>
      </c>
      <c r="D455" s="3">
        <v>-0.33427881079945376</v>
      </c>
    </row>
    <row r="456" spans="1:4" x14ac:dyDescent="0.35">
      <c r="A456" s="5">
        <v>45177</v>
      </c>
      <c r="B456" s="3">
        <v>-1.7943670464112604E-2</v>
      </c>
      <c r="C456" s="3">
        <v>-2.6698152335335679E-2</v>
      </c>
      <c r="D456" s="3">
        <v>-0.34446895682319567</v>
      </c>
    </row>
    <row r="457" spans="1:4" x14ac:dyDescent="0.35">
      <c r="A457" s="5">
        <v>45180</v>
      </c>
      <c r="B457" s="3">
        <v>-1.4512656463186779E-2</v>
      </c>
      <c r="C457" s="3">
        <v>-2.6637946028390536E-2</v>
      </c>
      <c r="D457" s="3">
        <v>-0.34268305494274609</v>
      </c>
    </row>
    <row r="458" spans="1:4" x14ac:dyDescent="0.35">
      <c r="A458" s="5">
        <v>45181</v>
      </c>
      <c r="B458" s="3">
        <v>-9.8562092254026457E-3</v>
      </c>
      <c r="C458" s="3">
        <v>-2.7741728322384529E-2</v>
      </c>
      <c r="D458" s="3">
        <v>-0.3412123122176699</v>
      </c>
    </row>
    <row r="459" spans="1:4" x14ac:dyDescent="0.35">
      <c r="A459" s="5">
        <v>45182</v>
      </c>
      <c r="B459" s="3">
        <v>-8.2703539502512191E-3</v>
      </c>
      <c r="C459" s="3">
        <v>-2.7641384477476105E-2</v>
      </c>
      <c r="D459" s="3">
        <v>-0.3410022061140876</v>
      </c>
    </row>
    <row r="460" spans="1:4" x14ac:dyDescent="0.35">
      <c r="A460" s="5">
        <v>45183</v>
      </c>
      <c r="B460" s="3">
        <v>-1.3067396942080256E-3</v>
      </c>
      <c r="C460" s="3">
        <v>-3.0290461983061956E-2</v>
      </c>
      <c r="D460" s="3">
        <v>-0.33995167559617612</v>
      </c>
    </row>
    <row r="461" spans="1:4" x14ac:dyDescent="0.35">
      <c r="A461" s="5">
        <v>45184</v>
      </c>
      <c r="B461" s="3">
        <v>-8.86336239811647E-3</v>
      </c>
      <c r="C461" s="3">
        <v>-2.3968799753823045E-2</v>
      </c>
      <c r="D461" s="3">
        <v>-0.33995167559617612</v>
      </c>
    </row>
    <row r="462" spans="1:4" x14ac:dyDescent="0.35">
      <c r="A462" s="5">
        <v>45187</v>
      </c>
      <c r="B462" s="3">
        <v>5.0363587392456832E-3</v>
      </c>
      <c r="C462" s="3">
        <v>-2.4664517078522352E-2</v>
      </c>
      <c r="D462" s="3">
        <v>-0.33890114507826452</v>
      </c>
    </row>
    <row r="463" spans="1:4" x14ac:dyDescent="0.35">
      <c r="A463" s="5">
        <v>45188</v>
      </c>
      <c r="B463" s="3">
        <v>6.890699973947978E-3</v>
      </c>
      <c r="C463" s="3">
        <v>-2.4885273537321062E-2</v>
      </c>
      <c r="D463" s="3">
        <v>-0.33869103897468222</v>
      </c>
    </row>
    <row r="464" spans="1:4" x14ac:dyDescent="0.35">
      <c r="A464" s="5">
        <v>45189</v>
      </c>
      <c r="B464" s="3">
        <v>1.9927017589910223E-2</v>
      </c>
      <c r="C464" s="3">
        <v>-2.8965923230269031E-2</v>
      </c>
      <c r="D464" s="3">
        <v>-0.33511923521378295</v>
      </c>
    </row>
    <row r="465" spans="1:4" x14ac:dyDescent="0.35">
      <c r="A465" s="5">
        <v>45190</v>
      </c>
      <c r="B465" s="3">
        <v>1.0702609043123701E-2</v>
      </c>
      <c r="C465" s="3">
        <v>-3.1206935766559973E-2</v>
      </c>
      <c r="D465" s="3">
        <v>-0.33448891690303595</v>
      </c>
    </row>
    <row r="466" spans="1:4" x14ac:dyDescent="0.35">
      <c r="A466" s="5">
        <v>45191</v>
      </c>
      <c r="B466" s="3">
        <v>1.4417018854479657E-2</v>
      </c>
      <c r="C466" s="3">
        <v>-2.9855638655124861E-2</v>
      </c>
      <c r="D466" s="3">
        <v>-0.33574955352452995</v>
      </c>
    </row>
    <row r="467" spans="1:4" x14ac:dyDescent="0.35">
      <c r="A467" s="5">
        <v>45194</v>
      </c>
      <c r="B467" s="3">
        <v>2.6882376944643349E-2</v>
      </c>
      <c r="C467" s="3">
        <v>-3.4391180444991454E-2</v>
      </c>
      <c r="D467" s="3">
        <v>-0.33995167559617612</v>
      </c>
    </row>
    <row r="468" spans="1:4" x14ac:dyDescent="0.35">
      <c r="A468" s="5">
        <v>45195</v>
      </c>
      <c r="B468" s="3">
        <v>2.2282756690185312E-2</v>
      </c>
      <c r="C468" s="3">
        <v>-3.2986366616271745E-2</v>
      </c>
      <c r="D468" s="3">
        <v>-0.34037188780334071</v>
      </c>
    </row>
    <row r="469" spans="1:4" x14ac:dyDescent="0.35">
      <c r="A469" s="5">
        <v>45196</v>
      </c>
      <c r="B469" s="3">
        <v>1.5320459991680302E-2</v>
      </c>
      <c r="C469" s="3">
        <v>-3.6625503391621961E-2</v>
      </c>
      <c r="D469" s="3">
        <v>-0.34268305494274609</v>
      </c>
    </row>
    <row r="470" spans="1:4" x14ac:dyDescent="0.35">
      <c r="A470" s="5">
        <v>45197</v>
      </c>
      <c r="B470" s="3">
        <v>1.5292253504792797E-2</v>
      </c>
      <c r="C470" s="3">
        <v>-3.6625503391621961E-2</v>
      </c>
      <c r="D470" s="3">
        <v>-0.34268305494274609</v>
      </c>
    </row>
    <row r="471" spans="1:4" x14ac:dyDescent="0.35">
      <c r="A471" s="5">
        <v>45198</v>
      </c>
      <c r="B471" s="3">
        <v>3.1225073479170362E-2</v>
      </c>
      <c r="C471" s="3">
        <v>-4.7288709310570831E-2</v>
      </c>
      <c r="D471" s="3">
        <v>-0.33932135728542911</v>
      </c>
    </row>
    <row r="472" spans="1:4" x14ac:dyDescent="0.35">
      <c r="A472" s="5">
        <v>45201</v>
      </c>
      <c r="B472" s="3">
        <v>3.2345669609794347E-2</v>
      </c>
      <c r="C472" s="3">
        <v>-5.0907777316939296E-2</v>
      </c>
      <c r="D472" s="3">
        <v>-0.34436390377140458</v>
      </c>
    </row>
    <row r="473" spans="1:4" x14ac:dyDescent="0.35">
      <c r="A473" s="5">
        <v>45202</v>
      </c>
      <c r="B473" s="3">
        <v>3.6477153604284274E-2</v>
      </c>
      <c r="C473" s="3">
        <v>-5.0071578609368061E-2</v>
      </c>
      <c r="D473" s="3">
        <v>-0.34646496480722766</v>
      </c>
    </row>
    <row r="474" spans="1:4" x14ac:dyDescent="0.35">
      <c r="A474" s="5">
        <v>45203</v>
      </c>
      <c r="B474" s="3">
        <v>1.0554773709562371E-2</v>
      </c>
      <c r="C474" s="3">
        <v>-5.2861137497825839E-2</v>
      </c>
      <c r="D474" s="3">
        <v>-0.3539237314843996</v>
      </c>
    </row>
    <row r="475" spans="1:4" x14ac:dyDescent="0.35">
      <c r="A475" s="5">
        <v>45204</v>
      </c>
      <c r="B475" s="3">
        <v>1.7481577021326578E-2</v>
      </c>
      <c r="C475" s="3">
        <v>-5.3021687649679516E-2</v>
      </c>
      <c r="D475" s="3">
        <v>-0.3538186784326085</v>
      </c>
    </row>
    <row r="476" spans="1:4" x14ac:dyDescent="0.35">
      <c r="A476" s="5">
        <v>45205</v>
      </c>
      <c r="B476" s="3">
        <v>2.5144464774022435E-2</v>
      </c>
      <c r="C476" s="3">
        <v>-5.216542017312642E-2</v>
      </c>
      <c r="D476" s="3">
        <v>-0.35066708687887382</v>
      </c>
    </row>
    <row r="477" spans="1:4" x14ac:dyDescent="0.35">
      <c r="A477" s="5">
        <v>45208</v>
      </c>
      <c r="B477" s="3">
        <v>2.9924697966918323E-2</v>
      </c>
      <c r="C477" s="3">
        <v>-5.1911215766024865E-2</v>
      </c>
      <c r="D477" s="3">
        <v>-0.35161256434499422</v>
      </c>
    </row>
    <row r="478" spans="1:4" x14ac:dyDescent="0.35">
      <c r="A478" s="5">
        <v>45209</v>
      </c>
      <c r="B478" s="3">
        <v>3.1836796621862451E-2</v>
      </c>
      <c r="C478" s="3">
        <v>-3.9930160683943505E-2</v>
      </c>
      <c r="D478" s="3">
        <v>-0.34804076058409494</v>
      </c>
    </row>
    <row r="479" spans="1:4" x14ac:dyDescent="0.35">
      <c r="A479" s="5">
        <v>45210</v>
      </c>
      <c r="B479" s="3">
        <v>3.8201621310230749E-2</v>
      </c>
      <c r="C479" s="3">
        <v>-3.9047134848748333E-2</v>
      </c>
      <c r="D479" s="3">
        <v>-0.34488916903036038</v>
      </c>
    </row>
    <row r="480" spans="1:4" x14ac:dyDescent="0.35">
      <c r="A480" s="5">
        <v>45211</v>
      </c>
      <c r="B480" s="3">
        <v>4.5902126675085642E-2</v>
      </c>
      <c r="C480" s="3">
        <v>-3.4143665627550335E-2</v>
      </c>
      <c r="D480" s="3">
        <v>-0.34236789578737259</v>
      </c>
    </row>
    <row r="481" spans="1:4" x14ac:dyDescent="0.35">
      <c r="A481" s="5">
        <v>45212</v>
      </c>
      <c r="B481" s="3">
        <v>3.8903933255899581E-2</v>
      </c>
      <c r="C481" s="3">
        <v>-3.3929598758412061E-2</v>
      </c>
      <c r="D481" s="3">
        <v>-0.34278810799453718</v>
      </c>
    </row>
    <row r="482" spans="1:4" x14ac:dyDescent="0.35">
      <c r="A482" s="5">
        <v>45215</v>
      </c>
      <c r="B482" s="3">
        <v>2.8599530861806333E-2</v>
      </c>
      <c r="C482" s="3">
        <v>-3.7394806202587394E-2</v>
      </c>
      <c r="D482" s="3">
        <v>-0.34541443428931606</v>
      </c>
    </row>
    <row r="483" spans="1:4" x14ac:dyDescent="0.35">
      <c r="A483" s="5">
        <v>45216</v>
      </c>
      <c r="B483" s="3">
        <v>3.2233946108348954E-2</v>
      </c>
      <c r="C483" s="3">
        <v>-3.3936288348072607E-2</v>
      </c>
      <c r="D483" s="3">
        <v>-0.3422628427355815</v>
      </c>
    </row>
    <row r="484" spans="1:4" x14ac:dyDescent="0.35">
      <c r="A484" s="5">
        <v>45217</v>
      </c>
      <c r="B484" s="3">
        <v>1.4639470966985035E-2</v>
      </c>
      <c r="C484" s="3">
        <v>-3.2324097239875282E-2</v>
      </c>
      <c r="D484" s="3">
        <v>-0.34699023006618346</v>
      </c>
    </row>
    <row r="485" spans="1:4" x14ac:dyDescent="0.35">
      <c r="A485" s="5">
        <v>45218</v>
      </c>
      <c r="B485" s="3">
        <v>1.0511939645109436E-2</v>
      </c>
      <c r="C485" s="3">
        <v>-3.4919658028176426E-2</v>
      </c>
      <c r="D485" s="3">
        <v>-0.35077213993066503</v>
      </c>
    </row>
    <row r="486" spans="1:4" x14ac:dyDescent="0.35">
      <c r="A486" s="5">
        <v>45219</v>
      </c>
      <c r="B486" s="3">
        <v>5.0840596999111032E-3</v>
      </c>
      <c r="C486" s="3">
        <v>-3.600337155318889E-2</v>
      </c>
      <c r="D486" s="3">
        <v>-0.35150751129320312</v>
      </c>
    </row>
    <row r="487" spans="1:4" x14ac:dyDescent="0.35">
      <c r="A487" s="5">
        <v>45222</v>
      </c>
      <c r="B487" s="3">
        <v>-9.7886642348776753E-3</v>
      </c>
      <c r="C487" s="3">
        <v>-3.7956731734075433E-2</v>
      </c>
      <c r="D487" s="3">
        <v>-0.35581468641664038</v>
      </c>
    </row>
    <row r="488" spans="1:4" x14ac:dyDescent="0.35">
      <c r="A488" s="5">
        <v>45223</v>
      </c>
      <c r="B488" s="3">
        <v>3.3813720267377168E-3</v>
      </c>
      <c r="C488" s="3">
        <v>-3.960906038023615E-2</v>
      </c>
      <c r="D488" s="3">
        <v>-0.34961655636096234</v>
      </c>
    </row>
    <row r="489" spans="1:4" x14ac:dyDescent="0.35">
      <c r="A489" s="5">
        <v>45224</v>
      </c>
      <c r="B489" s="3">
        <v>2.5248251823219992E-3</v>
      </c>
      <c r="C489" s="3">
        <v>-3.5020001873085072E-2</v>
      </c>
      <c r="D489" s="3">
        <v>-0.34520432818573377</v>
      </c>
    </row>
    <row r="490" spans="1:4" x14ac:dyDescent="0.35">
      <c r="A490" s="5">
        <v>45225</v>
      </c>
      <c r="B490" s="3">
        <v>6.2174280719760056E-3</v>
      </c>
      <c r="C490" s="3">
        <v>-3.6297713498254058E-2</v>
      </c>
      <c r="D490" s="3">
        <v>-0.34762054837693035</v>
      </c>
    </row>
    <row r="491" spans="1:4" x14ac:dyDescent="0.35">
      <c r="A491" s="5">
        <v>45226</v>
      </c>
      <c r="B491" s="3">
        <v>1.4525031683675582E-2</v>
      </c>
      <c r="C491" s="3">
        <v>-3.5428066842379757E-2</v>
      </c>
      <c r="D491" s="3">
        <v>-0.35224288265574122</v>
      </c>
    </row>
    <row r="492" spans="1:4" x14ac:dyDescent="0.35">
      <c r="A492" s="5">
        <v>45229</v>
      </c>
      <c r="B492" s="3">
        <v>9.5195726004626557E-4</v>
      </c>
      <c r="C492" s="3">
        <v>-3.7234256050733716E-2</v>
      </c>
      <c r="D492" s="3">
        <v>-0.35938649017753965</v>
      </c>
    </row>
    <row r="493" spans="1:4" x14ac:dyDescent="0.35">
      <c r="A493" s="5">
        <v>45230</v>
      </c>
      <c r="B493" s="3">
        <v>4.4856465772467047E-3</v>
      </c>
      <c r="C493" s="3">
        <v>-3.526751669052608E-2</v>
      </c>
      <c r="D493" s="3">
        <v>-0.35697026998634307</v>
      </c>
    </row>
    <row r="494" spans="1:4" x14ac:dyDescent="0.35">
      <c r="A494" s="5">
        <v>45231</v>
      </c>
      <c r="B494" s="3">
        <v>-5.7820793172141949E-3</v>
      </c>
      <c r="C494" s="3">
        <v>-3.9823127249374535E-2</v>
      </c>
      <c r="D494" s="3">
        <v>-0.36358861224918582</v>
      </c>
    </row>
    <row r="495" spans="1:4" x14ac:dyDescent="0.35">
      <c r="A495" s="5">
        <v>45232</v>
      </c>
      <c r="B495" s="3">
        <v>6.154050865500027E-3</v>
      </c>
      <c r="C495" s="3">
        <v>-3.6852949440081328E-2</v>
      </c>
      <c r="D495" s="3">
        <v>-0.35686521693455198</v>
      </c>
    </row>
    <row r="496" spans="1:4" x14ac:dyDescent="0.35">
      <c r="A496" s="5">
        <v>45233</v>
      </c>
      <c r="B496" s="3">
        <v>2.9549544403486339E-2</v>
      </c>
      <c r="C496" s="3">
        <v>-3.005632634494193E-2</v>
      </c>
      <c r="D496" s="3">
        <v>-0.35224288265574122</v>
      </c>
    </row>
    <row r="497" spans="1:4" x14ac:dyDescent="0.35">
      <c r="A497" s="5">
        <v>45236</v>
      </c>
      <c r="B497" s="3">
        <v>3.7349456810814807E-2</v>
      </c>
      <c r="C497" s="3">
        <v>-2.0195871185261338E-2</v>
      </c>
      <c r="D497" s="3">
        <v>-0.33995167559617612</v>
      </c>
    </row>
    <row r="498" spans="1:4" x14ac:dyDescent="0.35">
      <c r="A498" s="5">
        <v>45237</v>
      </c>
      <c r="B498" s="3">
        <v>3.1362191586527866E-2</v>
      </c>
      <c r="C498" s="3">
        <v>-2.1065517841135639E-2</v>
      </c>
      <c r="D498" s="3">
        <v>-0.3408971530622964</v>
      </c>
    </row>
    <row r="499" spans="1:4" x14ac:dyDescent="0.35">
      <c r="A499" s="5">
        <v>45238</v>
      </c>
      <c r="B499" s="3">
        <v>3.156313002384814E-2</v>
      </c>
      <c r="C499" s="3">
        <v>-2.4925411075284676E-2</v>
      </c>
      <c r="D499" s="3">
        <v>-0.33953146338901141</v>
      </c>
    </row>
    <row r="500" spans="1:4" x14ac:dyDescent="0.35">
      <c r="A500" s="5">
        <v>45239</v>
      </c>
      <c r="B500" s="3">
        <v>3.765315605615438E-2</v>
      </c>
      <c r="C500" s="3">
        <v>-2.8490962364368544E-2</v>
      </c>
      <c r="D500" s="3">
        <v>-0.34236789578737259</v>
      </c>
    </row>
    <row r="501" spans="1:4" x14ac:dyDescent="0.35">
      <c r="A501" s="5">
        <v>45240</v>
      </c>
      <c r="B501" s="3">
        <v>4.1517624452382496E-2</v>
      </c>
      <c r="C501" s="3">
        <v>-3.3233881433712753E-2</v>
      </c>
      <c r="D501" s="3">
        <v>-0.34499422208215147</v>
      </c>
    </row>
    <row r="502" spans="1:4" x14ac:dyDescent="0.35">
      <c r="A502" s="5">
        <v>45243</v>
      </c>
      <c r="B502" s="3">
        <v>4.1430989643556959E-2</v>
      </c>
      <c r="C502" s="3">
        <v>-3.3233881433712753E-2</v>
      </c>
      <c r="D502" s="3">
        <v>-0.34499422208215147</v>
      </c>
    </row>
    <row r="503" spans="1:4" x14ac:dyDescent="0.35">
      <c r="A503" s="5">
        <v>45244</v>
      </c>
      <c r="B503" s="3">
        <v>3.3161640912334533E-2</v>
      </c>
      <c r="C503" s="3">
        <v>-2.8858889795699838E-2</v>
      </c>
      <c r="D503" s="3">
        <v>-0.34257800189095489</v>
      </c>
    </row>
    <row r="504" spans="1:4" x14ac:dyDescent="0.35">
      <c r="A504" s="5">
        <v>45245</v>
      </c>
      <c r="B504" s="3">
        <v>6.5207502349332369E-2</v>
      </c>
      <c r="C504" s="3">
        <v>-1.8744230228917802E-2</v>
      </c>
      <c r="D504" s="3">
        <v>-0.33764050845677074</v>
      </c>
    </row>
    <row r="505" spans="1:4" x14ac:dyDescent="0.35">
      <c r="A505" s="5">
        <v>45246</v>
      </c>
      <c r="B505" s="3">
        <v>5.391484704560856E-2</v>
      </c>
      <c r="C505" s="3">
        <v>-2.0189181595600791E-2</v>
      </c>
      <c r="D505" s="3">
        <v>-0.33953146338901141</v>
      </c>
    </row>
    <row r="506" spans="1:4" x14ac:dyDescent="0.35">
      <c r="A506" s="5">
        <v>45247</v>
      </c>
      <c r="B506" s="3">
        <v>4.3700766466897134E-2</v>
      </c>
      <c r="C506" s="3">
        <v>-2.2871707049489487E-2</v>
      </c>
      <c r="D506" s="3">
        <v>-0.34299821409811959</v>
      </c>
    </row>
    <row r="507" spans="1:4" x14ac:dyDescent="0.35">
      <c r="A507" s="5">
        <v>45250</v>
      </c>
      <c r="B507" s="3">
        <v>4.5558248171380766E-2</v>
      </c>
      <c r="C507" s="3">
        <v>-2.53803031722033E-2</v>
      </c>
      <c r="D507" s="3">
        <v>-0.33690513709423264</v>
      </c>
    </row>
    <row r="508" spans="1:4" x14ac:dyDescent="0.35">
      <c r="A508" s="5">
        <v>45251</v>
      </c>
      <c r="B508" s="3">
        <v>4.8746718925096966E-2</v>
      </c>
      <c r="C508" s="3">
        <v>-2.1045449072153777E-2</v>
      </c>
      <c r="D508" s="3">
        <v>-0.33186259060825718</v>
      </c>
    </row>
    <row r="509" spans="1:4" x14ac:dyDescent="0.35">
      <c r="A509" s="5">
        <v>45252</v>
      </c>
      <c r="B509" s="3">
        <v>4.8734985138841669E-2</v>
      </c>
      <c r="C509" s="3">
        <v>-2.6069330907242061E-2</v>
      </c>
      <c r="D509" s="3">
        <v>-0.32965647652064289</v>
      </c>
    </row>
    <row r="510" spans="1:4" x14ac:dyDescent="0.35">
      <c r="A510" s="5">
        <v>45253</v>
      </c>
      <c r="B510" s="3">
        <v>3.9742088285906085E-2</v>
      </c>
      <c r="C510" s="3">
        <v>-2.780862421899033E-2</v>
      </c>
      <c r="D510" s="3">
        <v>-0.33932135728542911</v>
      </c>
    </row>
    <row r="511" spans="1:4" x14ac:dyDescent="0.35">
      <c r="A511" s="5">
        <v>45254</v>
      </c>
      <c r="B511" s="3">
        <v>3.4391269569267191E-2</v>
      </c>
      <c r="C511" s="3">
        <v>-2.7387180070374328E-2</v>
      </c>
      <c r="D511" s="3">
        <v>-0.33711524319781483</v>
      </c>
    </row>
    <row r="512" spans="1:4" x14ac:dyDescent="0.35">
      <c r="A512" s="5">
        <v>45257</v>
      </c>
      <c r="B512" s="3">
        <v>2.3042024739425848E-2</v>
      </c>
      <c r="C512" s="3">
        <v>-3.1247073304523365E-2</v>
      </c>
      <c r="D512" s="3">
        <v>-0.34005672864796721</v>
      </c>
    </row>
    <row r="513" spans="1:4" x14ac:dyDescent="0.35">
      <c r="A513" s="5">
        <v>45258</v>
      </c>
      <c r="B513" s="3">
        <v>1.8575101744376266E-2</v>
      </c>
      <c r="C513" s="3">
        <v>-3.1334037970110806E-2</v>
      </c>
      <c r="D513" s="3">
        <v>-0.34079210001050531</v>
      </c>
    </row>
    <row r="514" spans="1:4" x14ac:dyDescent="0.35">
      <c r="A514" s="5">
        <v>45259</v>
      </c>
      <c r="B514" s="3">
        <v>1.376868402946152E-2</v>
      </c>
      <c r="C514" s="3">
        <v>-3.2638507953922091E-2</v>
      </c>
      <c r="D514" s="3">
        <v>-0.34341842630528419</v>
      </c>
    </row>
    <row r="515" spans="1:4" x14ac:dyDescent="0.35">
      <c r="A515" s="5">
        <v>45260</v>
      </c>
      <c r="B515" s="3">
        <v>-1.7385407601028469E-2</v>
      </c>
      <c r="C515" s="3">
        <v>-2.8176551650321735E-2</v>
      </c>
      <c r="D515" s="3">
        <v>-0.34341842630528419</v>
      </c>
    </row>
    <row r="516" spans="1:4" x14ac:dyDescent="0.35">
      <c r="A516" s="5">
        <v>45261</v>
      </c>
      <c r="B516" s="3">
        <v>-2.3383967201283218E-2</v>
      </c>
      <c r="C516" s="3">
        <v>-2.5741541013874047E-2</v>
      </c>
      <c r="D516" s="3">
        <v>-0.34520432818573377</v>
      </c>
    </row>
    <row r="517" spans="1:4" x14ac:dyDescent="0.35">
      <c r="A517" s="5">
        <v>45264</v>
      </c>
      <c r="B517" s="3">
        <v>-3.080786148383674E-2</v>
      </c>
      <c r="C517" s="3">
        <v>-2.9327161071939778E-2</v>
      </c>
      <c r="D517" s="3">
        <v>-0.34940645025737993</v>
      </c>
    </row>
    <row r="518" spans="1:4" x14ac:dyDescent="0.35">
      <c r="A518" s="5">
        <v>45265</v>
      </c>
      <c r="B518" s="3">
        <v>-3.3267572227414055E-2</v>
      </c>
      <c r="C518" s="3">
        <v>-3.0370737058988739E-2</v>
      </c>
      <c r="D518" s="3">
        <v>-0.34835591973946844</v>
      </c>
    </row>
    <row r="519" spans="1:4" x14ac:dyDescent="0.35">
      <c r="A519" s="5">
        <v>45266</v>
      </c>
      <c r="B519" s="3">
        <v>-3.3428431881004195E-2</v>
      </c>
      <c r="C519" s="3">
        <v>-3.2805747695436316E-2</v>
      </c>
      <c r="D519" s="3">
        <v>-0.34783065448051265</v>
      </c>
    </row>
    <row r="520" spans="1:4" x14ac:dyDescent="0.35">
      <c r="A520" s="5">
        <v>45267</v>
      </c>
      <c r="B520" s="3">
        <v>-3.0651850699625394E-2</v>
      </c>
      <c r="C520" s="3">
        <v>-3.4792555824625704E-2</v>
      </c>
      <c r="D520" s="3">
        <v>-0.35266309486290581</v>
      </c>
    </row>
    <row r="521" spans="1:4" x14ac:dyDescent="0.35">
      <c r="A521" s="5">
        <v>45268</v>
      </c>
      <c r="B521" s="3">
        <v>-3.0457430094220084E-2</v>
      </c>
      <c r="C521" s="3">
        <v>-3.5381239714755819E-2</v>
      </c>
      <c r="D521" s="3">
        <v>-0.35150751129320312</v>
      </c>
    </row>
    <row r="522" spans="1:4" x14ac:dyDescent="0.35">
      <c r="A522" s="5">
        <v>45271</v>
      </c>
      <c r="B522" s="3">
        <v>-3.0661844875812694E-2</v>
      </c>
      <c r="C522" s="3">
        <v>-3.2424441084783706E-2</v>
      </c>
      <c r="D522" s="3">
        <v>-0.34614980565185416</v>
      </c>
    </row>
    <row r="523" spans="1:4" x14ac:dyDescent="0.35">
      <c r="A523" s="5">
        <v>45272</v>
      </c>
      <c r="B523" s="3">
        <v>-2.8592563400703264E-2</v>
      </c>
      <c r="C523" s="3">
        <v>-3.1936101039562237E-2</v>
      </c>
      <c r="D523" s="3">
        <v>-0.34404874461603108</v>
      </c>
    </row>
    <row r="524" spans="1:4" x14ac:dyDescent="0.35">
      <c r="A524" s="5">
        <v>45273</v>
      </c>
      <c r="B524" s="3">
        <v>-3.3853057324349956E-2</v>
      </c>
      <c r="C524" s="3">
        <v>-3.1320658790789713E-2</v>
      </c>
      <c r="D524" s="3">
        <v>-0.34257800189095489</v>
      </c>
    </row>
    <row r="525" spans="1:4" x14ac:dyDescent="0.35">
      <c r="A525" s="5">
        <v>45274</v>
      </c>
      <c r="B525" s="3">
        <v>-2.9724467376216035E-2</v>
      </c>
      <c r="C525" s="3">
        <v>-2.5821816089800942E-2</v>
      </c>
      <c r="D525" s="3">
        <v>-0.33921630423363802</v>
      </c>
    </row>
    <row r="526" spans="1:4" x14ac:dyDescent="0.35">
      <c r="A526" s="5">
        <v>45275</v>
      </c>
      <c r="B526" s="3">
        <v>-1.9088461806360923E-2</v>
      </c>
      <c r="C526" s="3">
        <v>-2.1680960089907941E-2</v>
      </c>
      <c r="D526" s="3">
        <v>-0.33648492488706794</v>
      </c>
    </row>
    <row r="527" spans="1:4" x14ac:dyDescent="0.35">
      <c r="A527" s="5">
        <v>45278</v>
      </c>
      <c r="B527" s="3">
        <v>-1.4607090143278434E-2</v>
      </c>
      <c r="C527" s="3">
        <v>-1.9787806215966652E-2</v>
      </c>
      <c r="D527" s="3">
        <v>-0.33680008404244144</v>
      </c>
    </row>
    <row r="528" spans="1:4" x14ac:dyDescent="0.35">
      <c r="A528" s="5">
        <v>45279</v>
      </c>
      <c r="B528" s="3">
        <v>-1.8150533780109779E-2</v>
      </c>
      <c r="C528" s="3">
        <v>-1.9526912219204329E-2</v>
      </c>
      <c r="D528" s="3">
        <v>-0.3412123122176699</v>
      </c>
    </row>
    <row r="529" spans="1:4" x14ac:dyDescent="0.35">
      <c r="A529" s="5">
        <v>45280</v>
      </c>
      <c r="B529" s="3">
        <v>-2.5117490939525755E-2</v>
      </c>
      <c r="C529" s="3">
        <v>-2.0269456671527686E-2</v>
      </c>
      <c r="D529" s="3">
        <v>-0.33816577371572643</v>
      </c>
    </row>
    <row r="530" spans="1:4" x14ac:dyDescent="0.35">
      <c r="A530" s="5">
        <v>45281</v>
      </c>
      <c r="B530" s="3">
        <v>-3.1028114493793946E-2</v>
      </c>
      <c r="C530" s="3">
        <v>-2.6276708186719788E-2</v>
      </c>
      <c r="D530" s="3">
        <v>-0.33585460657632105</v>
      </c>
    </row>
    <row r="531" spans="1:4" x14ac:dyDescent="0.35">
      <c r="A531" s="5">
        <v>45282</v>
      </c>
      <c r="B531" s="3">
        <v>-3.5306066558082105E-2</v>
      </c>
      <c r="C531" s="3">
        <v>-2.7079458945988066E-2</v>
      </c>
      <c r="D531" s="3">
        <v>-0.33585460657632105</v>
      </c>
    </row>
    <row r="532" spans="1:4" x14ac:dyDescent="0.35">
      <c r="A532" s="5">
        <v>45285</v>
      </c>
      <c r="B532" s="3">
        <v>-3.5409671439616486E-2</v>
      </c>
      <c r="C532" s="3">
        <v>-2.7079458945988066E-2</v>
      </c>
      <c r="D532" s="3">
        <v>-0.33585460657632105</v>
      </c>
    </row>
    <row r="533" spans="1:4" x14ac:dyDescent="0.35">
      <c r="A533" s="5">
        <v>45286</v>
      </c>
      <c r="B533" s="3">
        <v>-2.5102774938572048E-2</v>
      </c>
      <c r="C533" s="3">
        <v>-2.9487711223793456E-2</v>
      </c>
      <c r="D533" s="3">
        <v>-0.33658997793885914</v>
      </c>
    </row>
    <row r="534" spans="1:4" x14ac:dyDescent="0.35">
      <c r="A534" s="5">
        <v>45287</v>
      </c>
      <c r="B534" s="3">
        <v>-2.9056932633674926E-2</v>
      </c>
      <c r="C534" s="3">
        <v>-2.7186492380557259E-2</v>
      </c>
      <c r="D534" s="3">
        <v>-0.33732534930139724</v>
      </c>
    </row>
    <row r="535" spans="1:4" x14ac:dyDescent="0.35">
      <c r="A535" s="5">
        <v>45288</v>
      </c>
      <c r="B535" s="3">
        <v>-2.9955561526444074E-2</v>
      </c>
      <c r="C535" s="3">
        <v>-2.5052513278835398E-2</v>
      </c>
      <c r="D535" s="3">
        <v>-0.33238785586721298</v>
      </c>
    </row>
    <row r="536" spans="1:4" x14ac:dyDescent="0.35">
      <c r="A536" s="5">
        <v>45289</v>
      </c>
      <c r="B536" s="3">
        <v>-3.975364435422668E-2</v>
      </c>
      <c r="C536" s="3">
        <v>-2.6892150435492201E-2</v>
      </c>
      <c r="D536" s="3">
        <v>-0.33406870469587135</v>
      </c>
    </row>
    <row r="537" spans="1:4" x14ac:dyDescent="0.35">
      <c r="A537" s="5">
        <v>45292</v>
      </c>
      <c r="B537" s="3">
        <v>-3.9856931624229652E-2</v>
      </c>
      <c r="C537" s="3">
        <v>-2.6892150435492201E-2</v>
      </c>
      <c r="D537" s="3">
        <v>-0.33406870469587135</v>
      </c>
    </row>
    <row r="538" spans="1:4" x14ac:dyDescent="0.35">
      <c r="A538" s="5">
        <v>45293</v>
      </c>
      <c r="B538" s="3">
        <v>-4.4158259897227103E-2</v>
      </c>
      <c r="C538" s="3">
        <v>-2.7935726422541274E-2</v>
      </c>
      <c r="D538" s="3">
        <v>-0.33701019014602374</v>
      </c>
    </row>
    <row r="539" spans="1:4" x14ac:dyDescent="0.35">
      <c r="A539" s="5">
        <v>45294</v>
      </c>
      <c r="B539" s="3">
        <v>-2.8921820688228239E-2</v>
      </c>
      <c r="C539" s="3">
        <v>-2.1734476807192649E-2</v>
      </c>
      <c r="D539" s="3">
        <v>-0.33974156949259371</v>
      </c>
    </row>
    <row r="540" spans="1:4" x14ac:dyDescent="0.35">
      <c r="A540" s="5">
        <v>45295</v>
      </c>
      <c r="B540" s="3">
        <v>-2.9331327822680553E-2</v>
      </c>
      <c r="C540" s="3">
        <v>-1.1773677802603522E-2</v>
      </c>
      <c r="D540" s="3">
        <v>-0.3412123122176699</v>
      </c>
    </row>
    <row r="541" spans="1:4" x14ac:dyDescent="0.35">
      <c r="A541" s="5">
        <v>45296</v>
      </c>
      <c r="B541" s="3">
        <v>-3.2008581291147253E-2</v>
      </c>
      <c r="C541" s="3">
        <v>-4.8499525039134017E-3</v>
      </c>
      <c r="D541" s="3">
        <v>-0.33123227229751029</v>
      </c>
    </row>
    <row r="542" spans="1:4" x14ac:dyDescent="0.35">
      <c r="A542" s="5">
        <v>45299</v>
      </c>
      <c r="B542" s="3">
        <v>-1.6829036894468796E-2</v>
      </c>
      <c r="C542" s="3">
        <v>5.619255314879279E-4</v>
      </c>
      <c r="D542" s="3">
        <v>-0.33018174177959869</v>
      </c>
    </row>
    <row r="543" spans="1:4" x14ac:dyDescent="0.35">
      <c r="A543" s="5">
        <v>45300</v>
      </c>
      <c r="B543" s="3">
        <v>-2.1698148715053378E-2</v>
      </c>
      <c r="C543" s="3">
        <v>2.6557670952462864E-3</v>
      </c>
      <c r="D543" s="3">
        <v>-0.32934131736526939</v>
      </c>
    </row>
    <row r="544" spans="1:4" x14ac:dyDescent="0.35">
      <c r="A544" s="5">
        <v>45301</v>
      </c>
      <c r="B544" s="3">
        <v>-2.5252221751134729E-2</v>
      </c>
      <c r="C544" s="3">
        <v>-5.3516717284561865E-3</v>
      </c>
      <c r="D544" s="3">
        <v>-0.3294463704170606</v>
      </c>
    </row>
    <row r="545" spans="1:4" x14ac:dyDescent="0.35">
      <c r="A545" s="5">
        <v>45302</v>
      </c>
      <c r="B545" s="3">
        <v>-2.5337892168197595E-2</v>
      </c>
      <c r="C545" s="3">
        <v>-7.9338533374362363E-3</v>
      </c>
      <c r="D545" s="3">
        <v>-0.32545435444899684</v>
      </c>
    </row>
    <row r="546" spans="1:4" x14ac:dyDescent="0.35">
      <c r="A546" s="5">
        <v>45303</v>
      </c>
      <c r="B546" s="3">
        <v>-2.8484575480036023E-2</v>
      </c>
      <c r="C546" s="3">
        <v>-5.0305714247488309E-3</v>
      </c>
      <c r="D546" s="3">
        <v>-0.32776552158840211</v>
      </c>
    </row>
    <row r="547" spans="1:4" x14ac:dyDescent="0.35">
      <c r="A547" s="5">
        <v>45306</v>
      </c>
      <c r="B547" s="3">
        <v>-2.6236436364558524E-2</v>
      </c>
      <c r="C547" s="3">
        <v>4.1809935378562813E-3</v>
      </c>
      <c r="D547" s="3">
        <v>-0.32629477886332603</v>
      </c>
    </row>
    <row r="548" spans="1:4" x14ac:dyDescent="0.35">
      <c r="A548" s="5">
        <v>45307</v>
      </c>
      <c r="B548" s="3">
        <v>-2.7859325419371972E-2</v>
      </c>
      <c r="C548" s="3">
        <v>-6.6226937639646266E-4</v>
      </c>
      <c r="D548" s="3">
        <v>-0.32997163567601639</v>
      </c>
    </row>
    <row r="549" spans="1:4" x14ac:dyDescent="0.35">
      <c r="A549" s="5">
        <v>45308</v>
      </c>
      <c r="B549" s="3">
        <v>-2.7758600215722073E-2</v>
      </c>
      <c r="C549" s="3">
        <v>-2.4417002261080123E-3</v>
      </c>
      <c r="D549" s="3">
        <v>-0.33616976573169455</v>
      </c>
    </row>
    <row r="550" spans="1:4" x14ac:dyDescent="0.35">
      <c r="A550" s="5">
        <v>45309</v>
      </c>
      <c r="B550" s="3">
        <v>-4.8884912358939325E-2</v>
      </c>
      <c r="C550" s="3">
        <v>-1.0489276587773988E-2</v>
      </c>
      <c r="D550" s="3">
        <v>-0.34383863851244878</v>
      </c>
    </row>
    <row r="551" spans="1:4" x14ac:dyDescent="0.35">
      <c r="A551" s="5">
        <v>45310</v>
      </c>
      <c r="B551" s="3">
        <v>-4.5376702427988413E-2</v>
      </c>
      <c r="C551" s="3">
        <v>-5.679461621824089E-3</v>
      </c>
      <c r="D551" s="3">
        <v>-0.33543439436915645</v>
      </c>
    </row>
    <row r="552" spans="1:4" x14ac:dyDescent="0.35">
      <c r="A552" s="5">
        <v>45313</v>
      </c>
      <c r="B552" s="3">
        <v>-3.2739151335615113E-2</v>
      </c>
      <c r="C552" s="3">
        <v>-2.4550794054292169E-3</v>
      </c>
      <c r="D552" s="3">
        <v>-0.3291312112616871</v>
      </c>
    </row>
    <row r="553" spans="1:4" x14ac:dyDescent="0.35">
      <c r="A553" s="5">
        <v>45314</v>
      </c>
      <c r="B553" s="3">
        <v>-3.9938790702915949E-2</v>
      </c>
      <c r="C553" s="3">
        <v>8.3619870757134507E-4</v>
      </c>
      <c r="D553" s="3">
        <v>-0.33018174177959869</v>
      </c>
    </row>
    <row r="554" spans="1:4" x14ac:dyDescent="0.35">
      <c r="A554" s="5">
        <v>45315</v>
      </c>
      <c r="B554" s="3">
        <v>-3.9188528743502871E-2</v>
      </c>
      <c r="C554" s="3">
        <v>6.1811808463669848E-3</v>
      </c>
      <c r="D554" s="3">
        <v>-0.33175753755646598</v>
      </c>
    </row>
    <row r="555" spans="1:4" x14ac:dyDescent="0.35">
      <c r="A555" s="5">
        <v>45316</v>
      </c>
      <c r="B555" s="3">
        <v>-3.9225985730103163E-2</v>
      </c>
      <c r="C555" s="3">
        <v>6.1811808463669848E-3</v>
      </c>
      <c r="D555" s="3">
        <v>-0.33175753755646598</v>
      </c>
    </row>
    <row r="556" spans="1:4" x14ac:dyDescent="0.35">
      <c r="A556" s="5">
        <v>45317</v>
      </c>
      <c r="B556" s="3">
        <v>-2.8998238022676981E-2</v>
      </c>
      <c r="C556" s="3">
        <v>7.6395113923712898E-3</v>
      </c>
      <c r="D556" s="3">
        <v>-0.33438386385124486</v>
      </c>
    </row>
    <row r="557" spans="1:4" x14ac:dyDescent="0.35">
      <c r="A557" s="5">
        <v>45320</v>
      </c>
      <c r="B557" s="3">
        <v>-2.2335722103134614E-2</v>
      </c>
      <c r="C557" s="3">
        <v>1.3733727573150833E-2</v>
      </c>
      <c r="D557" s="3">
        <v>-0.33627481878348564</v>
      </c>
    </row>
    <row r="558" spans="1:4" x14ac:dyDescent="0.35">
      <c r="A558" s="5">
        <v>45321</v>
      </c>
      <c r="B558" s="3">
        <v>-2.1124372896574206E-2</v>
      </c>
      <c r="C558" s="3">
        <v>1.1967675902760266E-2</v>
      </c>
      <c r="D558" s="3">
        <v>-0.33827082676751752</v>
      </c>
    </row>
    <row r="559" spans="1:4" x14ac:dyDescent="0.35">
      <c r="A559" s="5">
        <v>45322</v>
      </c>
      <c r="B559" s="3">
        <v>-2.5719004831745051E-2</v>
      </c>
      <c r="C559" s="3">
        <v>1.2121536464953397E-2</v>
      </c>
      <c r="D559" s="3">
        <v>-0.34877613194663304</v>
      </c>
    </row>
    <row r="560" spans="1:4" x14ac:dyDescent="0.35">
      <c r="A560" s="5">
        <v>45323</v>
      </c>
      <c r="B560" s="3">
        <v>-2.5756842952182613E-2</v>
      </c>
      <c r="C560" s="3">
        <v>1.2121536464953397E-2</v>
      </c>
      <c r="D560" s="3">
        <v>-0.34877613194663304</v>
      </c>
    </row>
    <row r="561" spans="1:4" x14ac:dyDescent="0.35">
      <c r="A561" s="5">
        <v>45324</v>
      </c>
      <c r="B561" s="3">
        <v>-2.3610699486480535E-2</v>
      </c>
      <c r="C561" s="3">
        <v>1.4529788742758454E-2</v>
      </c>
      <c r="D561" s="3">
        <v>-0.34961655636096234</v>
      </c>
    </row>
    <row r="562" spans="1:4" x14ac:dyDescent="0.35">
      <c r="A562" s="5">
        <v>45327</v>
      </c>
      <c r="B562" s="3">
        <v>-2.70002920975142E-2</v>
      </c>
      <c r="C562" s="3">
        <v>1.1024443760619729E-2</v>
      </c>
      <c r="D562" s="3">
        <v>-0.35150751129320312</v>
      </c>
    </row>
    <row r="563" spans="1:4" x14ac:dyDescent="0.35">
      <c r="A563" s="5">
        <v>45328</v>
      </c>
      <c r="B563" s="3">
        <v>-2.6766551184524756E-2</v>
      </c>
      <c r="C563" s="3">
        <v>1.2121536464953397E-2</v>
      </c>
      <c r="D563" s="3">
        <v>-0.34972160941275343</v>
      </c>
    </row>
    <row r="564" spans="1:4" x14ac:dyDescent="0.35">
      <c r="A564" s="5">
        <v>45329</v>
      </c>
      <c r="B564" s="3">
        <v>-2.9175846391021554E-2</v>
      </c>
      <c r="C564" s="3">
        <v>1.2208501130540617E-2</v>
      </c>
      <c r="D564" s="3">
        <v>-0.34867107889484183</v>
      </c>
    </row>
    <row r="565" spans="1:4" x14ac:dyDescent="0.35">
      <c r="A565" s="5">
        <v>45330</v>
      </c>
      <c r="B565" s="3">
        <v>-1.6369368312161181E-2</v>
      </c>
      <c r="C565" s="3">
        <v>1.1706781905997943E-2</v>
      </c>
      <c r="D565" s="3">
        <v>-0.34604475260006307</v>
      </c>
    </row>
    <row r="566" spans="1:4" x14ac:dyDescent="0.35">
      <c r="A566" s="5">
        <v>45331</v>
      </c>
      <c r="B566" s="3">
        <v>-4.6135068308837957E-3</v>
      </c>
      <c r="C566" s="3">
        <v>1.1653265188713346E-2</v>
      </c>
      <c r="D566" s="3">
        <v>-0.34331337325349298</v>
      </c>
    </row>
    <row r="567" spans="1:4" x14ac:dyDescent="0.35">
      <c r="A567" s="5">
        <v>45334</v>
      </c>
      <c r="B567" s="3">
        <v>-4.7287998167726553E-3</v>
      </c>
      <c r="C567" s="3">
        <v>1.1653265188713346E-2</v>
      </c>
      <c r="D567" s="3">
        <v>-0.34331337325349298</v>
      </c>
    </row>
    <row r="568" spans="1:4" x14ac:dyDescent="0.35">
      <c r="A568" s="5">
        <v>45335</v>
      </c>
      <c r="B568" s="3">
        <v>2.7644030615925352E-4</v>
      </c>
      <c r="C568" s="3">
        <v>2.4423691850741891E-2</v>
      </c>
      <c r="D568" s="3">
        <v>-0.33942641033722021</v>
      </c>
    </row>
    <row r="569" spans="1:4" x14ac:dyDescent="0.35">
      <c r="A569" s="5">
        <v>45336</v>
      </c>
      <c r="B569" s="3">
        <v>2.9566369748166288E-3</v>
      </c>
      <c r="C569" s="3">
        <v>2.3059015559985463E-2</v>
      </c>
      <c r="D569" s="3">
        <v>-0.34436390377140458</v>
      </c>
    </row>
    <row r="570" spans="1:4" x14ac:dyDescent="0.35">
      <c r="A570" s="5">
        <v>45337</v>
      </c>
      <c r="B570" s="3">
        <v>7.2224290331257546E-3</v>
      </c>
      <c r="C570" s="3">
        <v>2.2423504542231631E-2</v>
      </c>
      <c r="D570" s="3">
        <v>-0.33827082676751752</v>
      </c>
    </row>
    <row r="571" spans="1:4" x14ac:dyDescent="0.35">
      <c r="A571" s="5">
        <v>45338</v>
      </c>
      <c r="B571" s="3">
        <v>8.1328288965671902E-3</v>
      </c>
      <c r="C571" s="3">
        <v>2.5882022396746196E-2</v>
      </c>
      <c r="D571" s="3">
        <v>-0.33680008404244144</v>
      </c>
    </row>
    <row r="572" spans="1:4" x14ac:dyDescent="0.35">
      <c r="A572" s="5">
        <v>45341</v>
      </c>
      <c r="B572" s="3">
        <v>9.7091419883823527E-3</v>
      </c>
      <c r="C572" s="3">
        <v>2.9266954764994635E-2</v>
      </c>
      <c r="D572" s="3">
        <v>-0.33848093287109993</v>
      </c>
    </row>
    <row r="573" spans="1:4" x14ac:dyDescent="0.35">
      <c r="A573" s="5">
        <v>45342</v>
      </c>
      <c r="B573" s="3">
        <v>8.838950979815019E-3</v>
      </c>
      <c r="C573" s="3">
        <v>4.0625878008643035E-2</v>
      </c>
      <c r="D573" s="3">
        <v>-0.33364849248870676</v>
      </c>
    </row>
    <row r="574" spans="1:4" x14ac:dyDescent="0.35">
      <c r="A574" s="5">
        <v>45343</v>
      </c>
      <c r="B574" s="3">
        <v>3.4796670400472074E-3</v>
      </c>
      <c r="C574" s="3">
        <v>3.8491898906921174E-2</v>
      </c>
      <c r="D574" s="3">
        <v>-0.33123227229751029</v>
      </c>
    </row>
    <row r="575" spans="1:4" x14ac:dyDescent="0.35">
      <c r="A575" s="5">
        <v>45344</v>
      </c>
      <c r="B575" s="3">
        <v>-1.2621642651070575E-3</v>
      </c>
      <c r="C575" s="3">
        <v>3.3869392451467029E-2</v>
      </c>
      <c r="D575" s="3">
        <v>-0.31032671499107045</v>
      </c>
    </row>
    <row r="576" spans="1:4" x14ac:dyDescent="0.35">
      <c r="A576" s="5">
        <v>45345</v>
      </c>
      <c r="B576" s="3">
        <v>2.6047937470741189E-3</v>
      </c>
      <c r="C576" s="3">
        <v>3.6291023908593401E-2</v>
      </c>
      <c r="D576" s="3">
        <v>-0.31200756381972905</v>
      </c>
    </row>
    <row r="577" spans="1:4" x14ac:dyDescent="0.35">
      <c r="A577" s="5">
        <v>45348</v>
      </c>
      <c r="B577" s="3">
        <v>1.0425930441487097E-2</v>
      </c>
      <c r="C577" s="3">
        <v>3.5280895869847395E-2</v>
      </c>
      <c r="D577" s="3">
        <v>-0.32072696711839477</v>
      </c>
    </row>
    <row r="578" spans="1:4" x14ac:dyDescent="0.35">
      <c r="A578" s="5">
        <v>45349</v>
      </c>
      <c r="B578" s="3">
        <v>1.4403940481568567E-2</v>
      </c>
      <c r="C578" s="3">
        <v>4.277323628968599E-2</v>
      </c>
      <c r="D578" s="3">
        <v>-0.32072696711839477</v>
      </c>
    </row>
    <row r="579" spans="1:4" x14ac:dyDescent="0.35">
      <c r="A579" s="5">
        <v>45350</v>
      </c>
      <c r="B579" s="3">
        <v>4.0660048423835082E-3</v>
      </c>
      <c r="C579" s="3">
        <v>3.3936288348072718E-2</v>
      </c>
      <c r="D579" s="3">
        <v>-0.32471898308645863</v>
      </c>
    </row>
    <row r="580" spans="1:4" x14ac:dyDescent="0.35">
      <c r="A580" s="5">
        <v>45351</v>
      </c>
      <c r="B580" s="3">
        <v>1.2139601830492008E-2</v>
      </c>
      <c r="C580" s="3">
        <v>3.7849698299506462E-2</v>
      </c>
      <c r="D580" s="3">
        <v>-0.32146233848093286</v>
      </c>
    </row>
    <row r="581" spans="1:4" x14ac:dyDescent="0.35">
      <c r="A581" s="5">
        <v>45352</v>
      </c>
      <c r="B581" s="3">
        <v>1.3451018109259749E-2</v>
      </c>
      <c r="C581" s="3">
        <v>2.8872268975021154E-2</v>
      </c>
      <c r="D581" s="3">
        <v>-0.32608467275974362</v>
      </c>
    </row>
    <row r="582" spans="1:4" x14ac:dyDescent="0.35">
      <c r="A582" s="5">
        <v>45355</v>
      </c>
      <c r="B582" s="3">
        <v>1.0833832817556788E-2</v>
      </c>
      <c r="C582" s="3">
        <v>2.9708467682592499E-2</v>
      </c>
      <c r="D582" s="3">
        <v>-0.33133732534930138</v>
      </c>
    </row>
    <row r="583" spans="1:4" x14ac:dyDescent="0.35">
      <c r="A583" s="5">
        <v>45356</v>
      </c>
      <c r="B583" s="3">
        <v>2.3698636576546361E-2</v>
      </c>
      <c r="C583" s="3">
        <v>2.8176551650321846E-2</v>
      </c>
      <c r="D583" s="3">
        <v>-0.32860594600273141</v>
      </c>
    </row>
    <row r="584" spans="1:4" x14ac:dyDescent="0.35">
      <c r="A584" s="5">
        <v>45357</v>
      </c>
      <c r="B584" s="3">
        <v>3.0392131682420054E-2</v>
      </c>
      <c r="C584" s="3">
        <v>2.451734610598999E-2</v>
      </c>
      <c r="D584" s="3">
        <v>-0.33490912911020065</v>
      </c>
    </row>
    <row r="585" spans="1:4" x14ac:dyDescent="0.35">
      <c r="A585" s="5">
        <v>45358</v>
      </c>
      <c r="B585" s="3">
        <v>2.6744466931591937E-2</v>
      </c>
      <c r="C585" s="3">
        <v>2.7407248839356191E-2</v>
      </c>
      <c r="D585" s="3">
        <v>-0.33438386385124486</v>
      </c>
    </row>
    <row r="586" spans="1:4" x14ac:dyDescent="0.35">
      <c r="A586" s="5">
        <v>45359</v>
      </c>
      <c r="B586" s="3">
        <v>2.9665791388690632E-2</v>
      </c>
      <c r="C586" s="3">
        <v>3.010315347256598E-2</v>
      </c>
      <c r="D586" s="3">
        <v>-0.33049690093497219</v>
      </c>
    </row>
    <row r="587" spans="1:4" x14ac:dyDescent="0.35">
      <c r="A587" s="5">
        <v>45362</v>
      </c>
      <c r="B587" s="3">
        <v>2.5092891362904046E-2</v>
      </c>
      <c r="C587" s="3">
        <v>3.3347604457942603E-2</v>
      </c>
      <c r="D587" s="3">
        <v>-0.33417375774766256</v>
      </c>
    </row>
    <row r="588" spans="1:4" x14ac:dyDescent="0.35">
      <c r="A588" s="5">
        <v>45363</v>
      </c>
      <c r="B588" s="3">
        <v>2.6140543560171814E-2</v>
      </c>
      <c r="C588" s="3">
        <v>3.9936850273604163E-2</v>
      </c>
      <c r="D588" s="3">
        <v>-0.33795566761214413</v>
      </c>
    </row>
    <row r="589" spans="1:4" x14ac:dyDescent="0.35">
      <c r="A589" s="5">
        <v>45364</v>
      </c>
      <c r="B589" s="3">
        <v>1.8590010965508608E-2</v>
      </c>
      <c r="C589" s="3">
        <v>2.8945854461287501E-2</v>
      </c>
      <c r="D589" s="3">
        <v>-0.33501418216199186</v>
      </c>
    </row>
    <row r="590" spans="1:4" x14ac:dyDescent="0.35">
      <c r="A590" s="5">
        <v>45365</v>
      </c>
      <c r="B590" s="3">
        <v>1.5929128462334852E-2</v>
      </c>
      <c r="C590" s="3">
        <v>3.2705403850527892E-2</v>
      </c>
      <c r="D590" s="3">
        <v>-0.33669503099065023</v>
      </c>
    </row>
    <row r="591" spans="1:4" x14ac:dyDescent="0.35">
      <c r="A591" s="5">
        <v>45366</v>
      </c>
      <c r="B591" s="3">
        <v>1.881590153424173E-2</v>
      </c>
      <c r="C591" s="3">
        <v>3.8779551262325684E-2</v>
      </c>
      <c r="D591" s="3">
        <v>-0.33637987183527673</v>
      </c>
    </row>
    <row r="592" spans="1:4" x14ac:dyDescent="0.35">
      <c r="A592" s="5">
        <v>45369</v>
      </c>
      <c r="B592" s="3">
        <v>2.1974865966690738E-2</v>
      </c>
      <c r="C592" s="3">
        <v>3.9321408024831861E-2</v>
      </c>
      <c r="D592" s="3">
        <v>-0.33532934131736525</v>
      </c>
    </row>
    <row r="593" spans="1:4" x14ac:dyDescent="0.35">
      <c r="A593" s="5">
        <v>45370</v>
      </c>
      <c r="B593" s="3">
        <v>1.6685271493782183E-2</v>
      </c>
      <c r="C593" s="3">
        <v>3.3514844199456828E-2</v>
      </c>
      <c r="D593" s="3">
        <v>-0.33532934131736525</v>
      </c>
    </row>
    <row r="594" spans="1:4" x14ac:dyDescent="0.35">
      <c r="A594" s="5">
        <v>45371</v>
      </c>
      <c r="B594" s="3">
        <v>2.4945375336827613E-2</v>
      </c>
      <c r="C594" s="3">
        <v>2.7380490480714004E-2</v>
      </c>
      <c r="D594" s="3">
        <v>-0.33186259060825718</v>
      </c>
    </row>
    <row r="595" spans="1:4" x14ac:dyDescent="0.35">
      <c r="A595" s="5">
        <v>45372</v>
      </c>
      <c r="B595" s="3">
        <v>2.7889946972422308E-2</v>
      </c>
      <c r="C595" s="3">
        <v>3.1140039869954395E-2</v>
      </c>
      <c r="D595" s="3">
        <v>-0.32513919529362334</v>
      </c>
    </row>
    <row r="596" spans="1:4" x14ac:dyDescent="0.35">
      <c r="A596" s="5">
        <v>45373</v>
      </c>
      <c r="B596" s="3">
        <v>2.9444643166944839E-2</v>
      </c>
      <c r="C596" s="3">
        <v>3.1795619656690421E-2</v>
      </c>
      <c r="D596" s="3">
        <v>-0.32072696711839477</v>
      </c>
    </row>
    <row r="597" spans="1:4" x14ac:dyDescent="0.35">
      <c r="A597" s="5">
        <v>45376</v>
      </c>
      <c r="B597" s="3">
        <v>2.5916830599748808E-2</v>
      </c>
      <c r="C597" s="3">
        <v>2.8551168671313798E-2</v>
      </c>
      <c r="D597" s="3">
        <v>-0.32282802815421796</v>
      </c>
    </row>
    <row r="598" spans="1:4" x14ac:dyDescent="0.35">
      <c r="A598" s="5">
        <v>45377</v>
      </c>
      <c r="B598" s="3">
        <v>2.1145874678565768E-2</v>
      </c>
      <c r="C598" s="3">
        <v>2.9139852561443913E-2</v>
      </c>
      <c r="D598" s="3">
        <v>-0.32156739153272407</v>
      </c>
    </row>
    <row r="599" spans="1:4" x14ac:dyDescent="0.35">
      <c r="A599" s="5">
        <v>45378</v>
      </c>
      <c r="B599" s="3">
        <v>1.9297888518538198E-2</v>
      </c>
      <c r="C599" s="3">
        <v>2.3908593446877902E-2</v>
      </c>
      <c r="D599" s="3">
        <v>-0.32440382393108513</v>
      </c>
    </row>
    <row r="600" spans="1:4" x14ac:dyDescent="0.35">
      <c r="A600" s="5">
        <v>45379</v>
      </c>
      <c r="B600" s="3">
        <v>1.9269453793133717E-2</v>
      </c>
      <c r="C600" s="3">
        <v>2.3908593446877902E-2</v>
      </c>
      <c r="D600" s="3">
        <v>-0.32440382393108513</v>
      </c>
    </row>
    <row r="601" spans="1:4" x14ac:dyDescent="0.35">
      <c r="A601" s="5">
        <v>45380</v>
      </c>
      <c r="B601" s="3">
        <v>2.2725192364384528E-2</v>
      </c>
      <c r="C601" s="3">
        <v>2.756779899120998E-2</v>
      </c>
      <c r="D601" s="3">
        <v>-0.32051686101481236</v>
      </c>
    </row>
    <row r="602" spans="1:4" x14ac:dyDescent="0.35">
      <c r="A602" s="5">
        <v>45383</v>
      </c>
      <c r="B602" s="3">
        <v>3.277236740432099E-2</v>
      </c>
      <c r="C602" s="3">
        <v>3.288602277136321E-2</v>
      </c>
      <c r="D602" s="3">
        <v>-0.31957138354869208</v>
      </c>
    </row>
    <row r="603" spans="1:4" x14ac:dyDescent="0.35">
      <c r="A603" s="5">
        <v>45384</v>
      </c>
      <c r="B603" s="3">
        <v>6.0722117933298403E-2</v>
      </c>
      <c r="C603" s="3">
        <v>3.5541789866609719E-2</v>
      </c>
      <c r="D603" s="3">
        <v>-0.31673495115033079</v>
      </c>
    </row>
    <row r="604" spans="1:4" x14ac:dyDescent="0.35">
      <c r="A604" s="5">
        <v>45385</v>
      </c>
      <c r="B604" s="3">
        <v>5.5255447161966176E-2</v>
      </c>
      <c r="C604" s="3">
        <v>2.8196620419303597E-2</v>
      </c>
      <c r="D604" s="3">
        <v>-0.31820569387540698</v>
      </c>
    </row>
    <row r="605" spans="1:4" x14ac:dyDescent="0.35">
      <c r="A605" s="5">
        <v>45386</v>
      </c>
      <c r="B605" s="3">
        <v>5.0717221909560406E-2</v>
      </c>
      <c r="C605" s="3">
        <v>3.9053824438409102E-2</v>
      </c>
      <c r="D605" s="3">
        <v>-0.32041180796302138</v>
      </c>
    </row>
    <row r="606" spans="1:4" x14ac:dyDescent="0.35">
      <c r="A606" s="5">
        <v>45387</v>
      </c>
      <c r="B606" s="3">
        <v>5.0754195969969551E-2</v>
      </c>
      <c r="C606" s="3">
        <v>4.0398431960183556E-2</v>
      </c>
      <c r="D606" s="3">
        <v>-0.32219770984347096</v>
      </c>
    </row>
    <row r="607" spans="1:4" x14ac:dyDescent="0.35">
      <c r="A607" s="5">
        <v>45390</v>
      </c>
      <c r="B607" s="3">
        <v>6.5032439418156951E-2</v>
      </c>
      <c r="C607" s="3">
        <v>4.3562607869633396E-2</v>
      </c>
      <c r="D607" s="3">
        <v>-0.32282802815421796</v>
      </c>
    </row>
    <row r="608" spans="1:4" x14ac:dyDescent="0.35">
      <c r="A608" s="5">
        <v>45391</v>
      </c>
      <c r="B608" s="3">
        <v>7.526419138129592E-2</v>
      </c>
      <c r="C608" s="3">
        <v>3.923444335924442E-2</v>
      </c>
      <c r="D608" s="3">
        <v>-0.32125223237735057</v>
      </c>
    </row>
    <row r="609" spans="1:4" x14ac:dyDescent="0.35">
      <c r="A609" s="5">
        <v>45392</v>
      </c>
      <c r="B609" s="3">
        <v>7.5234284430910847E-2</v>
      </c>
      <c r="C609" s="3">
        <v>3.923444335924442E-2</v>
      </c>
      <c r="D609" s="3">
        <v>-0.32125223237735057</v>
      </c>
    </row>
    <row r="610" spans="1:4" x14ac:dyDescent="0.35">
      <c r="A610" s="5">
        <v>45393</v>
      </c>
      <c r="B610" s="3">
        <v>7.5204377480526219E-2</v>
      </c>
      <c r="C610" s="3">
        <v>3.923444335924442E-2</v>
      </c>
      <c r="D610" s="3">
        <v>-0.32125223237735057</v>
      </c>
    </row>
    <row r="611" spans="1:4" x14ac:dyDescent="0.35">
      <c r="A611" s="5">
        <v>45394</v>
      </c>
      <c r="B611" s="3">
        <v>7.7425336797647404E-2</v>
      </c>
      <c r="C611" s="3">
        <v>3.7582114713083481E-2</v>
      </c>
      <c r="D611" s="3">
        <v>-0.3175753755646602</v>
      </c>
    </row>
    <row r="612" spans="1:4" x14ac:dyDescent="0.35">
      <c r="A612" s="5">
        <v>45397</v>
      </c>
      <c r="B612" s="3">
        <v>5.9924160166098694E-2</v>
      </c>
      <c r="C612" s="3">
        <v>3.1889273911938298E-2</v>
      </c>
      <c r="D612" s="3">
        <v>-0.32713520327765522</v>
      </c>
    </row>
    <row r="613" spans="1:4" x14ac:dyDescent="0.35">
      <c r="A613" s="5">
        <v>45398</v>
      </c>
      <c r="B613" s="3">
        <v>3.6657595455082514E-2</v>
      </c>
      <c r="C613" s="3">
        <v>2.6852012897528921E-2</v>
      </c>
      <c r="D613" s="3">
        <v>-0.33743040235318833</v>
      </c>
    </row>
    <row r="614" spans="1:4" x14ac:dyDescent="0.35">
      <c r="A614" s="5">
        <v>45399</v>
      </c>
      <c r="B614" s="3">
        <v>5.1524279254117511E-2</v>
      </c>
      <c r="C614" s="3">
        <v>3.0477770493557932E-2</v>
      </c>
      <c r="D614" s="3">
        <v>-0.3297615295724341</v>
      </c>
    </row>
    <row r="615" spans="1:4" x14ac:dyDescent="0.35">
      <c r="A615" s="5">
        <v>45400</v>
      </c>
      <c r="B615" s="3">
        <v>5.7784232630429644E-2</v>
      </c>
      <c r="C615" s="3">
        <v>3.3381052406245448E-2</v>
      </c>
      <c r="D615" s="3">
        <v>-0.32881605210631371</v>
      </c>
    </row>
    <row r="616" spans="1:4" x14ac:dyDescent="0.35">
      <c r="A616" s="5">
        <v>45401</v>
      </c>
      <c r="B616" s="3">
        <v>3.6702414504137471E-2</v>
      </c>
      <c r="C616" s="3">
        <v>3.5260827100865644E-2</v>
      </c>
      <c r="D616" s="3">
        <v>-0.3404769408551318</v>
      </c>
    </row>
    <row r="617" spans="1:4" x14ac:dyDescent="0.35">
      <c r="A617" s="5">
        <v>45404</v>
      </c>
      <c r="B617" s="3">
        <v>4.9657685025368714E-2</v>
      </c>
      <c r="C617" s="3">
        <v>4.3301713872871073E-2</v>
      </c>
      <c r="D617" s="3">
        <v>-0.3414224183212522</v>
      </c>
    </row>
    <row r="618" spans="1:4" x14ac:dyDescent="0.35">
      <c r="A618" s="5">
        <v>45405</v>
      </c>
      <c r="B618" s="3">
        <v>5.9625007909205774E-2</v>
      </c>
      <c r="C618" s="3">
        <v>4.4673079753288158E-2</v>
      </c>
      <c r="D618" s="3">
        <v>-0.33627481878348564</v>
      </c>
    </row>
    <row r="619" spans="1:4" x14ac:dyDescent="0.35">
      <c r="A619" s="5">
        <v>45406</v>
      </c>
      <c r="B619" s="3">
        <v>8.4553816480181787E-2</v>
      </c>
      <c r="C619" s="3">
        <v>5.125563597928906E-2</v>
      </c>
      <c r="D619" s="3">
        <v>-0.32597961970795253</v>
      </c>
    </row>
    <row r="620" spans="1:4" x14ac:dyDescent="0.35">
      <c r="A620" s="5">
        <v>45407</v>
      </c>
      <c r="B620" s="3">
        <v>8.4126413554483248E-2</v>
      </c>
      <c r="C620" s="3">
        <v>4.976385748498191E-2</v>
      </c>
      <c r="D620" s="3">
        <v>-0.32934131736526939</v>
      </c>
    </row>
    <row r="621" spans="1:4" x14ac:dyDescent="0.35">
      <c r="A621" s="5">
        <v>45408</v>
      </c>
      <c r="B621" s="3">
        <v>0.1175946577721636</v>
      </c>
      <c r="C621" s="3">
        <v>5.3717404974378935E-2</v>
      </c>
      <c r="D621" s="3">
        <v>-0.32471898308645863</v>
      </c>
    </row>
    <row r="622" spans="1:4" x14ac:dyDescent="0.35">
      <c r="A622" s="5">
        <v>45411</v>
      </c>
      <c r="B622" s="3">
        <v>0.12505961978051983</v>
      </c>
      <c r="C622" s="3">
        <v>5.8734597219806561E-2</v>
      </c>
      <c r="D622" s="3">
        <v>-0.31705011030570429</v>
      </c>
    </row>
    <row r="623" spans="1:4" x14ac:dyDescent="0.35">
      <c r="A623" s="5">
        <v>45412</v>
      </c>
      <c r="B623" s="3">
        <v>0.13194029249085548</v>
      </c>
      <c r="C623" s="3">
        <v>5.4259261736885112E-2</v>
      </c>
      <c r="D623" s="3">
        <v>-0.31547431452883712</v>
      </c>
    </row>
    <row r="624" spans="1:4" x14ac:dyDescent="0.35">
      <c r="A624" s="5">
        <v>45413</v>
      </c>
      <c r="B624" s="3">
        <v>0.13190570092045695</v>
      </c>
      <c r="C624" s="3">
        <v>5.4259261736885112E-2</v>
      </c>
      <c r="D624" s="3">
        <v>-0.31547431452883712</v>
      </c>
    </row>
    <row r="625" spans="1:4" x14ac:dyDescent="0.35">
      <c r="A625" s="5">
        <v>45414</v>
      </c>
      <c r="B625" s="3">
        <v>0.12630542189652205</v>
      </c>
      <c r="C625" s="3">
        <v>5.715585405991197E-2</v>
      </c>
      <c r="D625" s="3">
        <v>-0.31957138354869208</v>
      </c>
    </row>
    <row r="626" spans="1:4" x14ac:dyDescent="0.35">
      <c r="A626" s="5">
        <v>45415</v>
      </c>
      <c r="B626" s="3">
        <v>0.1474728045995477</v>
      </c>
      <c r="C626" s="3">
        <v>6.33704828545818E-2</v>
      </c>
      <c r="D626" s="3">
        <v>-0.31116713940539975</v>
      </c>
    </row>
    <row r="627" spans="1:4" x14ac:dyDescent="0.35">
      <c r="A627" s="5">
        <v>45418</v>
      </c>
      <c r="B627" s="3">
        <v>0.13911341646100928</v>
      </c>
      <c r="C627" s="3">
        <v>6.8588362789826718E-2</v>
      </c>
      <c r="D627" s="3">
        <v>-0.30328816052106322</v>
      </c>
    </row>
    <row r="628" spans="1:4" x14ac:dyDescent="0.35">
      <c r="A628" s="5">
        <v>45419</v>
      </c>
      <c r="B628" s="3">
        <v>0.13077087886963557</v>
      </c>
      <c r="C628" s="3">
        <v>7.4134032618439205E-2</v>
      </c>
      <c r="D628" s="3">
        <v>-0.29835066708687874</v>
      </c>
    </row>
    <row r="629" spans="1:4" x14ac:dyDescent="0.35">
      <c r="A629" s="5">
        <v>45420</v>
      </c>
      <c r="B629" s="3">
        <v>0.16376299278720263</v>
      </c>
      <c r="C629" s="3">
        <v>7.3511900780006245E-2</v>
      </c>
      <c r="D629" s="3">
        <v>-0.29383338585985919</v>
      </c>
    </row>
    <row r="630" spans="1:4" x14ac:dyDescent="0.35">
      <c r="A630" s="5">
        <v>45421</v>
      </c>
      <c r="B630" s="3">
        <v>0.16411885703335938</v>
      </c>
      <c r="C630" s="3">
        <v>7.1150475629824905E-2</v>
      </c>
      <c r="D630" s="3">
        <v>-0.29603949994747336</v>
      </c>
    </row>
    <row r="631" spans="1:4" x14ac:dyDescent="0.35">
      <c r="A631" s="5">
        <v>45422</v>
      </c>
      <c r="B631" s="3">
        <v>0.16388757789152852</v>
      </c>
      <c r="C631" s="3">
        <v>7.0782548198493611E-2</v>
      </c>
      <c r="D631" s="3">
        <v>-0.29709003046538507</v>
      </c>
    </row>
    <row r="632" spans="1:4" x14ac:dyDescent="0.35">
      <c r="A632" s="5">
        <v>45425</v>
      </c>
      <c r="B632" s="3">
        <v>0.16886925330149793</v>
      </c>
      <c r="C632" s="3">
        <v>7.2281016282461419E-2</v>
      </c>
      <c r="D632" s="3">
        <v>-0.28553419476835795</v>
      </c>
    </row>
    <row r="633" spans="1:4" x14ac:dyDescent="0.35">
      <c r="A633" s="5">
        <v>45426</v>
      </c>
      <c r="B633" s="3">
        <v>0.16247297674034189</v>
      </c>
      <c r="C633" s="3">
        <v>7.4267824411650807E-2</v>
      </c>
      <c r="D633" s="3">
        <v>-0.28427355814686417</v>
      </c>
    </row>
    <row r="634" spans="1:4" x14ac:dyDescent="0.35">
      <c r="A634" s="5">
        <v>45427</v>
      </c>
      <c r="B634" s="3">
        <v>0.186509649477961</v>
      </c>
      <c r="C634" s="3">
        <v>7.2495083151599582E-2</v>
      </c>
      <c r="D634" s="3">
        <v>-0.27628952621073644</v>
      </c>
    </row>
    <row r="635" spans="1:4" x14ac:dyDescent="0.35">
      <c r="A635" s="5">
        <v>45428</v>
      </c>
      <c r="B635" s="3">
        <v>0.19150473095623188</v>
      </c>
      <c r="C635" s="3">
        <v>7.7766479804128874E-2</v>
      </c>
      <c r="D635" s="3">
        <v>-0.26315789473684204</v>
      </c>
    </row>
    <row r="636" spans="1:4" x14ac:dyDescent="0.35">
      <c r="A636" s="5">
        <v>45429</v>
      </c>
      <c r="B636" s="3">
        <v>0.20229754555688984</v>
      </c>
      <c r="C636" s="3">
        <v>8.1452443707102917E-2</v>
      </c>
      <c r="D636" s="3">
        <v>-0.2444584515180166</v>
      </c>
    </row>
    <row r="637" spans="1:4" x14ac:dyDescent="0.35">
      <c r="A637" s="5">
        <v>45432</v>
      </c>
      <c r="B637" s="3">
        <v>0.19582181113105546</v>
      </c>
      <c r="C637" s="3">
        <v>8.8730717257803571E-2</v>
      </c>
      <c r="D637" s="3">
        <v>-0.23920579892845883</v>
      </c>
    </row>
    <row r="638" spans="1:4" x14ac:dyDescent="0.35">
      <c r="A638" s="5">
        <v>45433</v>
      </c>
      <c r="B638" s="3">
        <v>0.19617666421390978</v>
      </c>
      <c r="C638" s="3">
        <v>8.5111649251434995E-2</v>
      </c>
      <c r="D638" s="3">
        <v>-0.23500367685681278</v>
      </c>
    </row>
    <row r="639" spans="1:4" x14ac:dyDescent="0.35">
      <c r="A639" s="5">
        <v>45434</v>
      </c>
      <c r="B639" s="3">
        <v>0.19614009924416242</v>
      </c>
      <c r="C639" s="3">
        <v>8.5111649251434995E-2</v>
      </c>
      <c r="D639" s="3">
        <v>-0.23500367685681278</v>
      </c>
    </row>
    <row r="640" spans="1:4" x14ac:dyDescent="0.35">
      <c r="A640" s="5">
        <v>45435</v>
      </c>
      <c r="B640" s="3">
        <v>0.21658774569388162</v>
      </c>
      <c r="C640" s="3">
        <v>8.9854568320779427E-2</v>
      </c>
      <c r="D640" s="3">
        <v>-0.22828028154217883</v>
      </c>
    </row>
    <row r="641" spans="1:4" x14ac:dyDescent="0.35">
      <c r="A641" s="5">
        <v>45436</v>
      </c>
      <c r="B641" s="3">
        <v>0.19684918566462084</v>
      </c>
      <c r="C641" s="3">
        <v>8.3312149632741583E-2</v>
      </c>
      <c r="D641" s="3">
        <v>-0.22439331862590606</v>
      </c>
    </row>
    <row r="642" spans="1:4" x14ac:dyDescent="0.35">
      <c r="A642" s="5">
        <v>45439</v>
      </c>
      <c r="B642" s="3">
        <v>0.21536512938931618</v>
      </c>
      <c r="C642" s="3">
        <v>8.2556226001097244E-2</v>
      </c>
      <c r="D642" s="3">
        <v>-0.21987603739888639</v>
      </c>
    </row>
    <row r="643" spans="1:4" x14ac:dyDescent="0.35">
      <c r="A643" s="5">
        <v>45440</v>
      </c>
      <c r="B643" s="3">
        <v>0.17675208099099726</v>
      </c>
      <c r="C643" s="3">
        <v>8.0917276534257399E-2</v>
      </c>
      <c r="D643" s="3">
        <v>-0.22733480407605844</v>
      </c>
    </row>
    <row r="644" spans="1:4" x14ac:dyDescent="0.35">
      <c r="A644" s="5">
        <v>45441</v>
      </c>
      <c r="B644" s="3">
        <v>0.18268946881273473</v>
      </c>
      <c r="C644" s="3">
        <v>7.3913276159640384E-2</v>
      </c>
      <c r="D644" s="3">
        <v>-0.22365794726336796</v>
      </c>
    </row>
    <row r="645" spans="1:4" x14ac:dyDescent="0.35">
      <c r="A645" s="5">
        <v>45442</v>
      </c>
      <c r="B645" s="3">
        <v>0.20522506962771314</v>
      </c>
      <c r="C645" s="3">
        <v>7.3184110886638232E-2</v>
      </c>
      <c r="D645" s="3">
        <v>-0.22628427355814673</v>
      </c>
    </row>
    <row r="646" spans="1:4" x14ac:dyDescent="0.35">
      <c r="A646" s="5">
        <v>45443</v>
      </c>
      <c r="B646" s="3">
        <v>0.22554194982969245</v>
      </c>
      <c r="C646" s="3">
        <v>6.8113401923926009E-2</v>
      </c>
      <c r="D646" s="3">
        <v>-0.23647441958188875</v>
      </c>
    </row>
    <row r="647" spans="1:4" x14ac:dyDescent="0.35">
      <c r="A647" s="5">
        <v>45446</v>
      </c>
      <c r="B647" s="3">
        <v>0.22542953130316845</v>
      </c>
      <c r="C647" s="3">
        <v>6.8113401923926009E-2</v>
      </c>
      <c r="D647" s="3">
        <v>-0.23647441958188875</v>
      </c>
    </row>
    <row r="648" spans="1:4" x14ac:dyDescent="0.35">
      <c r="A648" s="5">
        <v>45447</v>
      </c>
      <c r="B648" s="3">
        <v>0.23478107939780624</v>
      </c>
      <c r="C648" s="3">
        <v>8.0636313768513546E-2</v>
      </c>
      <c r="D648" s="3">
        <v>-0.22176699233112718</v>
      </c>
    </row>
    <row r="649" spans="1:4" x14ac:dyDescent="0.35">
      <c r="A649" s="5">
        <v>45448</v>
      </c>
      <c r="B649" s="3">
        <v>0.23597790892831871</v>
      </c>
      <c r="C649" s="3">
        <v>7.604056567170181E-2</v>
      </c>
      <c r="D649" s="3">
        <v>-0.21766992331127222</v>
      </c>
    </row>
    <row r="650" spans="1:4" x14ac:dyDescent="0.35">
      <c r="A650" s="5">
        <v>45449</v>
      </c>
      <c r="B650" s="3">
        <v>0.21745990614565636</v>
      </c>
      <c r="C650" s="3">
        <v>8.0188111261255246E-2</v>
      </c>
      <c r="D650" s="3">
        <v>-0.21546380922365782</v>
      </c>
    </row>
    <row r="651" spans="1:4" x14ac:dyDescent="0.35">
      <c r="A651" s="5">
        <v>45450</v>
      </c>
      <c r="B651" s="3">
        <v>0.2354218035286848</v>
      </c>
      <c r="C651" s="3">
        <v>8.2281952825013827E-2</v>
      </c>
      <c r="D651" s="3">
        <v>-0.21073642189305597</v>
      </c>
    </row>
    <row r="652" spans="1:4" x14ac:dyDescent="0.35">
      <c r="A652" s="5">
        <v>45453</v>
      </c>
      <c r="B652" s="3">
        <v>0.22793469465232707</v>
      </c>
      <c r="C652" s="3">
        <v>7.9947286033474674E-2</v>
      </c>
      <c r="D652" s="3">
        <v>-0.20348776131946633</v>
      </c>
    </row>
    <row r="653" spans="1:4" x14ac:dyDescent="0.35">
      <c r="A653" s="5">
        <v>45454</v>
      </c>
      <c r="B653" s="3">
        <v>0.24210436030246085</v>
      </c>
      <c r="C653" s="3">
        <v>7.802068421123054E-2</v>
      </c>
      <c r="D653" s="3">
        <v>-0.18457821199705848</v>
      </c>
    </row>
    <row r="654" spans="1:4" x14ac:dyDescent="0.35">
      <c r="A654" s="5">
        <v>45455</v>
      </c>
      <c r="B654" s="3">
        <v>0.25367443261320721</v>
      </c>
      <c r="C654" s="3">
        <v>7.6321528437445663E-2</v>
      </c>
      <c r="D654" s="3">
        <v>-0.16776972371047383</v>
      </c>
    </row>
    <row r="655" spans="1:4" x14ac:dyDescent="0.35">
      <c r="A655" s="5">
        <v>45456</v>
      </c>
      <c r="B655" s="3">
        <v>0.30334491308619516</v>
      </c>
      <c r="C655" s="3">
        <v>7.7137658376035256E-2</v>
      </c>
      <c r="D655" s="3">
        <v>-0.15295724340792105</v>
      </c>
    </row>
    <row r="656" spans="1:4" x14ac:dyDescent="0.35">
      <c r="A656" s="5">
        <v>45457</v>
      </c>
      <c r="B656" s="3">
        <v>0.21062204987664157</v>
      </c>
      <c r="C656" s="3">
        <v>7.5231125322772652E-2</v>
      </c>
      <c r="D656" s="3">
        <v>-0.16692929929614453</v>
      </c>
    </row>
    <row r="657" spans="1:4" x14ac:dyDescent="0.35">
      <c r="A657" s="5">
        <v>45460</v>
      </c>
      <c r="B657" s="3">
        <v>0.21051088727769618</v>
      </c>
      <c r="C657" s="3">
        <v>7.5231125322772652E-2</v>
      </c>
      <c r="D657" s="3">
        <v>-0.16692929929614453</v>
      </c>
    </row>
    <row r="658" spans="1:4" x14ac:dyDescent="0.35">
      <c r="A658" s="5">
        <v>45461</v>
      </c>
      <c r="B658" s="3">
        <v>0.22688099732396338</v>
      </c>
      <c r="C658" s="3">
        <v>7.4435064153165031E-2</v>
      </c>
      <c r="D658" s="3">
        <v>-0.16787477676226503</v>
      </c>
    </row>
    <row r="659" spans="1:4" x14ac:dyDescent="0.35">
      <c r="A659" s="5">
        <v>45462</v>
      </c>
      <c r="B659" s="3">
        <v>0.21660928402544921</v>
      </c>
      <c r="C659" s="3">
        <v>7.0193864308363274E-2</v>
      </c>
      <c r="D659" s="3">
        <v>-0.18111146128795041</v>
      </c>
    </row>
    <row r="660" spans="1:4" x14ac:dyDescent="0.35">
      <c r="A660" s="5">
        <v>45463</v>
      </c>
      <c r="B660" s="3">
        <v>0.19756571591125383</v>
      </c>
      <c r="C660" s="3">
        <v>6.5444255649358629E-2</v>
      </c>
      <c r="D660" s="3">
        <v>-0.18562874251497008</v>
      </c>
    </row>
    <row r="661" spans="1:4" x14ac:dyDescent="0.35">
      <c r="A661" s="5">
        <v>45464</v>
      </c>
      <c r="B661" s="3">
        <v>0.18112187109418243</v>
      </c>
      <c r="C661" s="3">
        <v>6.3892270848106225E-2</v>
      </c>
      <c r="D661" s="3">
        <v>-0.18373778758272918</v>
      </c>
    </row>
    <row r="662" spans="1:4" x14ac:dyDescent="0.35">
      <c r="A662" s="5">
        <v>45467</v>
      </c>
      <c r="B662" s="3">
        <v>0.16606820043025228</v>
      </c>
      <c r="C662" s="3">
        <v>6.3417309982205738E-2</v>
      </c>
      <c r="D662" s="3">
        <v>-0.19802500262632627</v>
      </c>
    </row>
    <row r="663" spans="1:4" x14ac:dyDescent="0.35">
      <c r="A663" s="5">
        <v>45468</v>
      </c>
      <c r="B663" s="3">
        <v>0.19462318034969295</v>
      </c>
      <c r="C663" s="3">
        <v>6.0554165607481725E-2</v>
      </c>
      <c r="D663" s="3">
        <v>-0.20401302657842213</v>
      </c>
    </row>
    <row r="664" spans="1:4" x14ac:dyDescent="0.35">
      <c r="A664" s="5">
        <v>45469</v>
      </c>
      <c r="B664" s="3">
        <v>0.16901011869256433</v>
      </c>
      <c r="C664" s="3">
        <v>6.4280267048419271E-2</v>
      </c>
      <c r="D664" s="3">
        <v>-0.19781489652274398</v>
      </c>
    </row>
    <row r="665" spans="1:4" x14ac:dyDescent="0.35">
      <c r="A665" s="5">
        <v>45470</v>
      </c>
      <c r="B665" s="3">
        <v>0.10139627605873081</v>
      </c>
      <c r="C665" s="3">
        <v>6.0259823662416556E-2</v>
      </c>
      <c r="D665" s="3">
        <v>-0.20663935287320101</v>
      </c>
    </row>
    <row r="666" spans="1:4" x14ac:dyDescent="0.35">
      <c r="A666" s="5">
        <v>45471</v>
      </c>
      <c r="B666" s="3">
        <v>0.14587603335054022</v>
      </c>
      <c r="C666" s="3">
        <v>6.3704962337610249E-2</v>
      </c>
      <c r="D666" s="3">
        <v>-0.19739468431557927</v>
      </c>
    </row>
    <row r="667" spans="1:4" x14ac:dyDescent="0.35">
      <c r="A667" s="5">
        <v>45474</v>
      </c>
      <c r="B667" s="3">
        <v>0.13885155777176594</v>
      </c>
      <c r="C667" s="3">
        <v>6.9130219552332672E-2</v>
      </c>
      <c r="D667" s="3">
        <v>-0.19655425990125008</v>
      </c>
    </row>
    <row r="668" spans="1:4" x14ac:dyDescent="0.35">
      <c r="A668" s="5">
        <v>45475</v>
      </c>
      <c r="B668" s="3">
        <v>0.13995376182531594</v>
      </c>
      <c r="C668" s="3">
        <v>6.8969669400479106E-2</v>
      </c>
      <c r="D668" s="3">
        <v>-0.18804496270616655</v>
      </c>
    </row>
    <row r="669" spans="1:4" x14ac:dyDescent="0.35">
      <c r="A669" s="5">
        <v>45476</v>
      </c>
      <c r="B669" s="3">
        <v>0.17646941661328963</v>
      </c>
      <c r="C669" s="3">
        <v>8.0582797051228949E-2</v>
      </c>
      <c r="D669" s="3">
        <v>-0.18090135518436812</v>
      </c>
    </row>
    <row r="670" spans="1:4" x14ac:dyDescent="0.35">
      <c r="A670" s="5">
        <v>45477</v>
      </c>
      <c r="B670" s="3">
        <v>0.19608946100233138</v>
      </c>
      <c r="C670" s="3">
        <v>8.1539408372690581E-2</v>
      </c>
      <c r="D670" s="3">
        <v>-0.18489337115243187</v>
      </c>
    </row>
    <row r="671" spans="1:4" x14ac:dyDescent="0.35">
      <c r="A671" s="5">
        <v>45478</v>
      </c>
      <c r="B671" s="3">
        <v>0.19735239028662299</v>
      </c>
      <c r="C671" s="3">
        <v>7.7706273497183842E-2</v>
      </c>
      <c r="D671" s="3">
        <v>-0.18426305284168498</v>
      </c>
    </row>
    <row r="672" spans="1:4" x14ac:dyDescent="0.35">
      <c r="A672" s="5">
        <v>45481</v>
      </c>
      <c r="B672" s="3">
        <v>0.19724231608372156</v>
      </c>
      <c r="C672" s="3">
        <v>7.7706273497183842E-2</v>
      </c>
      <c r="D672" s="3">
        <v>-0.18426305284168498</v>
      </c>
    </row>
    <row r="673" spans="1:4" x14ac:dyDescent="0.35">
      <c r="A673" s="5">
        <v>45482</v>
      </c>
      <c r="B673" s="3">
        <v>0.18550942297373041</v>
      </c>
      <c r="C673" s="3">
        <v>7.9980733981777741E-2</v>
      </c>
      <c r="D673" s="3">
        <v>-0.17354764155898728</v>
      </c>
    </row>
    <row r="674" spans="1:4" x14ac:dyDescent="0.35">
      <c r="A674" s="5">
        <v>45483</v>
      </c>
      <c r="B674" s="3">
        <v>0.18157435144359391</v>
      </c>
      <c r="C674" s="3">
        <v>8.2629811487363591E-2</v>
      </c>
      <c r="D674" s="3">
        <v>-0.16829498896942952</v>
      </c>
    </row>
    <row r="675" spans="1:4" x14ac:dyDescent="0.35">
      <c r="A675" s="5">
        <v>45484</v>
      </c>
      <c r="B675" s="3">
        <v>0.16789256338137859</v>
      </c>
      <c r="C675" s="3">
        <v>8.5800676986473645E-2</v>
      </c>
      <c r="D675" s="3">
        <v>-0.16157159365479568</v>
      </c>
    </row>
    <row r="676" spans="1:4" x14ac:dyDescent="0.35">
      <c r="A676" s="5">
        <v>45485</v>
      </c>
      <c r="B676" s="3">
        <v>0.15583565314460635</v>
      </c>
      <c r="C676" s="3">
        <v>8.3084703584282105E-2</v>
      </c>
      <c r="D676" s="3">
        <v>-0.16955562559092341</v>
      </c>
    </row>
    <row r="677" spans="1:4" x14ac:dyDescent="0.35">
      <c r="A677" s="5">
        <v>45488</v>
      </c>
      <c r="B677" s="3">
        <v>0.16385167376421439</v>
      </c>
      <c r="C677" s="3">
        <v>9.0282702059055753E-2</v>
      </c>
      <c r="D677" s="3">
        <v>-0.15947053261897248</v>
      </c>
    </row>
    <row r="678" spans="1:4" x14ac:dyDescent="0.35">
      <c r="A678" s="5">
        <v>45489</v>
      </c>
      <c r="B678" s="3">
        <v>0.14286028284912122</v>
      </c>
      <c r="C678" s="3">
        <v>8.7700520450075592E-2</v>
      </c>
      <c r="D678" s="3">
        <v>-0.16524845046748615</v>
      </c>
    </row>
    <row r="679" spans="1:4" x14ac:dyDescent="0.35">
      <c r="A679" s="5">
        <v>45490</v>
      </c>
      <c r="B679" s="3">
        <v>0.20764163163486105</v>
      </c>
      <c r="C679" s="3">
        <v>9.2771229412787815E-2</v>
      </c>
      <c r="D679" s="3">
        <v>-0.16766467065868262</v>
      </c>
    </row>
    <row r="680" spans="1:4" x14ac:dyDescent="0.35">
      <c r="A680" s="5">
        <v>45491</v>
      </c>
      <c r="B680" s="3">
        <v>0.14668692089278101</v>
      </c>
      <c r="C680" s="3">
        <v>9.2951848333623355E-2</v>
      </c>
      <c r="D680" s="3">
        <v>-0.18247715096123551</v>
      </c>
    </row>
    <row r="681" spans="1:4" x14ac:dyDescent="0.35">
      <c r="A681" s="5">
        <v>45492</v>
      </c>
      <c r="B681" s="3">
        <v>0.12748296868690256</v>
      </c>
      <c r="C681" s="3">
        <v>9.478479590061939E-2</v>
      </c>
      <c r="D681" s="3">
        <v>-0.18983086458661613</v>
      </c>
    </row>
    <row r="682" spans="1:4" x14ac:dyDescent="0.35">
      <c r="A682" s="5">
        <v>45495</v>
      </c>
      <c r="B682" s="3">
        <v>0.10691077269593441</v>
      </c>
      <c r="C682" s="3">
        <v>8.5098270072113902E-2</v>
      </c>
      <c r="D682" s="3">
        <v>-0.1939279336064712</v>
      </c>
    </row>
    <row r="683" spans="1:4" x14ac:dyDescent="0.35">
      <c r="A683" s="5">
        <v>45496</v>
      </c>
      <c r="B683" s="3">
        <v>0.12182494997434024</v>
      </c>
      <c r="C683" s="3">
        <v>9.0189047803807876E-2</v>
      </c>
      <c r="D683" s="3">
        <v>-0.19256224393318622</v>
      </c>
    </row>
    <row r="684" spans="1:4" x14ac:dyDescent="0.35">
      <c r="A684" s="5">
        <v>45497</v>
      </c>
      <c r="B684" s="3">
        <v>0.15168077434772553</v>
      </c>
      <c r="C684" s="3">
        <v>8.4476138233680942E-2</v>
      </c>
      <c r="D684" s="3">
        <v>-0.19728963126378818</v>
      </c>
    </row>
    <row r="685" spans="1:4" x14ac:dyDescent="0.35">
      <c r="A685" s="5">
        <v>45498</v>
      </c>
      <c r="B685" s="3">
        <v>0.14059900198754138</v>
      </c>
      <c r="C685" s="3">
        <v>8.0489142795981072E-2</v>
      </c>
      <c r="D685" s="3">
        <v>-0.21367790734320835</v>
      </c>
    </row>
    <row r="686" spans="1:4" x14ac:dyDescent="0.35">
      <c r="A686" s="5">
        <v>45499</v>
      </c>
      <c r="B686" s="3">
        <v>0.14641207652458665</v>
      </c>
      <c r="C686" s="3">
        <v>7.8950537174049984E-2</v>
      </c>
      <c r="D686" s="3">
        <v>-0.21651433974156953</v>
      </c>
    </row>
    <row r="687" spans="1:4" x14ac:dyDescent="0.35">
      <c r="A687" s="5">
        <v>45502</v>
      </c>
      <c r="B687" s="3">
        <v>0.14630646961888094</v>
      </c>
      <c r="C687" s="3">
        <v>8.6763977897595712E-2</v>
      </c>
      <c r="D687" s="3">
        <v>-0.2077949364429037</v>
      </c>
    </row>
    <row r="688" spans="1:4" x14ac:dyDescent="0.35">
      <c r="A688" s="5">
        <v>45503</v>
      </c>
      <c r="B688" s="3">
        <v>0.12239153321648755</v>
      </c>
      <c r="C688" s="3">
        <v>7.8321715745956144E-2</v>
      </c>
      <c r="D688" s="3">
        <v>-0.20684945897678331</v>
      </c>
    </row>
    <row r="689" spans="1:4" x14ac:dyDescent="0.35">
      <c r="A689" s="5">
        <v>45504</v>
      </c>
      <c r="B689" s="3">
        <v>0.1290173959276717</v>
      </c>
      <c r="C689" s="3">
        <v>8.743962645331349E-2</v>
      </c>
      <c r="D689" s="3">
        <v>-0.21619918058619603</v>
      </c>
    </row>
    <row r="690" spans="1:4" x14ac:dyDescent="0.35">
      <c r="A690" s="5">
        <v>45505</v>
      </c>
      <c r="B690" s="3">
        <v>0.15109835250643</v>
      </c>
      <c r="C690" s="3">
        <v>8.6556600618118207E-2</v>
      </c>
      <c r="D690" s="3">
        <v>-0.21462338480932863</v>
      </c>
    </row>
    <row r="691" spans="1:4" x14ac:dyDescent="0.35">
      <c r="A691" s="5">
        <v>45506</v>
      </c>
      <c r="B691" s="3">
        <v>9.1932217603759803E-2</v>
      </c>
      <c r="C691" s="3">
        <v>7.7726342266165371E-2</v>
      </c>
      <c r="D691" s="3">
        <v>-0.25086668767727693</v>
      </c>
    </row>
    <row r="692" spans="1:4" x14ac:dyDescent="0.35">
      <c r="A692" s="5">
        <v>45509</v>
      </c>
      <c r="B692" s="3">
        <v>-5.8399123322278035E-2</v>
      </c>
      <c r="C692" s="3">
        <v>2.7842072167293397E-2</v>
      </c>
      <c r="D692" s="3">
        <v>-0.31915117134152748</v>
      </c>
    </row>
    <row r="693" spans="1:4" x14ac:dyDescent="0.35">
      <c r="A693" s="5">
        <v>45510</v>
      </c>
      <c r="B693" s="3">
        <v>-2.1781565424091931E-2</v>
      </c>
      <c r="C693" s="3">
        <v>5.3202306570515168E-2</v>
      </c>
      <c r="D693" s="3">
        <v>-0.29257274923836529</v>
      </c>
    </row>
    <row r="694" spans="1:4" x14ac:dyDescent="0.35">
      <c r="A694" s="5">
        <v>45511</v>
      </c>
      <c r="B694" s="3">
        <v>3.5618014401546105E-3</v>
      </c>
      <c r="C694" s="3">
        <v>6.4895709297191795E-2</v>
      </c>
      <c r="D694" s="3">
        <v>-0.27492383653745145</v>
      </c>
    </row>
    <row r="695" spans="1:4" x14ac:dyDescent="0.35">
      <c r="A695" s="5">
        <v>45512</v>
      </c>
      <c r="B695" s="3">
        <v>-6.5380914858553796E-3</v>
      </c>
      <c r="C695" s="3">
        <v>6.3898960437766883E-2</v>
      </c>
      <c r="D695" s="3">
        <v>-0.27681479146969212</v>
      </c>
    </row>
    <row r="696" spans="1:4" x14ac:dyDescent="0.35">
      <c r="A696" s="5">
        <v>45513</v>
      </c>
      <c r="B696" s="3">
        <v>5.0561812873156198E-2</v>
      </c>
      <c r="C696" s="3">
        <v>6.7691957775310119E-2</v>
      </c>
      <c r="D696" s="3">
        <v>-0.25254753650593542</v>
      </c>
    </row>
    <row r="697" spans="1:4" x14ac:dyDescent="0.35">
      <c r="A697" s="5">
        <v>45516</v>
      </c>
      <c r="B697" s="3">
        <v>4.4950237806711479E-2</v>
      </c>
      <c r="C697" s="3">
        <v>7.4789612405175232E-2</v>
      </c>
      <c r="D697" s="3">
        <v>-0.24666456560563088</v>
      </c>
    </row>
    <row r="698" spans="1:4" x14ac:dyDescent="0.35">
      <c r="A698" s="5">
        <v>45517</v>
      </c>
      <c r="B698" s="3">
        <v>2.8351320920440459E-2</v>
      </c>
      <c r="C698" s="3">
        <v>7.6702835048098272E-2</v>
      </c>
      <c r="D698" s="3">
        <v>-0.25212732429877094</v>
      </c>
    </row>
    <row r="699" spans="1:4" x14ac:dyDescent="0.35">
      <c r="A699" s="5">
        <v>45518</v>
      </c>
      <c r="B699" s="3">
        <v>2.8322470302915237E-2</v>
      </c>
      <c r="C699" s="3">
        <v>7.8595988922039561E-2</v>
      </c>
      <c r="D699" s="3">
        <v>-0.25065658157369475</v>
      </c>
    </row>
    <row r="700" spans="1:4" x14ac:dyDescent="0.35">
      <c r="A700" s="5">
        <v>45519</v>
      </c>
      <c r="B700" s="3">
        <v>2.684962678457814E-2</v>
      </c>
      <c r="C700" s="3">
        <v>7.8990674712013265E-2</v>
      </c>
      <c r="D700" s="3">
        <v>-0.26263262947788635</v>
      </c>
    </row>
    <row r="701" spans="1:4" x14ac:dyDescent="0.35">
      <c r="A701" s="5">
        <v>45520</v>
      </c>
      <c r="B701" s="3">
        <v>4.4706242156242526E-2</v>
      </c>
      <c r="C701" s="3">
        <v>8.6322464979998292E-2</v>
      </c>
      <c r="D701" s="3">
        <v>-0.25391322617922052</v>
      </c>
    </row>
    <row r="702" spans="1:4" x14ac:dyDescent="0.35">
      <c r="A702" s="5">
        <v>45523</v>
      </c>
      <c r="B702" s="3">
        <v>6.8979715709201583E-2</v>
      </c>
      <c r="C702" s="3">
        <v>0.10291264733821248</v>
      </c>
      <c r="D702" s="3">
        <v>-0.26263262947788635</v>
      </c>
    </row>
    <row r="703" spans="1:4" x14ac:dyDescent="0.35">
      <c r="A703" s="5">
        <v>45524</v>
      </c>
      <c r="B703" s="3">
        <v>5.4953815805182993E-2</v>
      </c>
      <c r="C703" s="3">
        <v>9.8945720669494142E-2</v>
      </c>
      <c r="D703" s="3">
        <v>-0.27397835907133106</v>
      </c>
    </row>
    <row r="704" spans="1:4" x14ac:dyDescent="0.35">
      <c r="A704" s="5">
        <v>45525</v>
      </c>
      <c r="B704" s="3">
        <v>6.7448911040340676E-2</v>
      </c>
      <c r="C704" s="3">
        <v>9.396197637236936E-2</v>
      </c>
      <c r="D704" s="3">
        <v>-0.27250761634625487</v>
      </c>
    </row>
    <row r="705" spans="1:4" x14ac:dyDescent="0.35">
      <c r="A705" s="5">
        <v>45526</v>
      </c>
      <c r="B705" s="3">
        <v>6.9774456002670071E-2</v>
      </c>
      <c r="C705" s="3">
        <v>9.8203176217170896E-2</v>
      </c>
      <c r="D705" s="3">
        <v>-0.27177224498371688</v>
      </c>
    </row>
    <row r="706" spans="1:4" x14ac:dyDescent="0.35">
      <c r="A706" s="5">
        <v>45527</v>
      </c>
      <c r="B706" s="3">
        <v>1.7355239442827797E-2</v>
      </c>
      <c r="C706" s="3">
        <v>9.4242939138113435E-2</v>
      </c>
      <c r="D706" s="3">
        <v>-0.29498896942956188</v>
      </c>
    </row>
    <row r="707" spans="1:4" x14ac:dyDescent="0.35">
      <c r="A707" s="5">
        <v>45530</v>
      </c>
      <c r="B707" s="3">
        <v>2.3966003737871944E-3</v>
      </c>
      <c r="C707" s="3">
        <v>9.6396987008817048E-2</v>
      </c>
      <c r="D707" s="3">
        <v>-0.30160731169240462</v>
      </c>
    </row>
    <row r="708" spans="1:4" x14ac:dyDescent="0.35">
      <c r="A708" s="5">
        <v>45531</v>
      </c>
      <c r="B708" s="3">
        <v>5.6184638454559455E-3</v>
      </c>
      <c r="C708" s="3">
        <v>0.1053142100263571</v>
      </c>
      <c r="D708" s="3">
        <v>-0.31316314738943174</v>
      </c>
    </row>
    <row r="709" spans="1:4" x14ac:dyDescent="0.35">
      <c r="A709" s="5">
        <v>45532</v>
      </c>
      <c r="B709" s="3">
        <v>1.4089596458641829E-2</v>
      </c>
      <c r="C709" s="3">
        <v>0.12066681829736581</v>
      </c>
      <c r="D709" s="3">
        <v>-0.33207269671183948</v>
      </c>
    </row>
    <row r="710" spans="1:4" x14ac:dyDescent="0.35">
      <c r="A710" s="5">
        <v>45533</v>
      </c>
      <c r="B710" s="3">
        <v>6.1986764052295307E-3</v>
      </c>
      <c r="C710" s="3">
        <v>0.10615709832358888</v>
      </c>
      <c r="D710" s="3">
        <v>-0.34751549532513915</v>
      </c>
    </row>
    <row r="711" spans="1:4" x14ac:dyDescent="0.35">
      <c r="A711" s="5">
        <v>45534</v>
      </c>
      <c r="B711" s="3">
        <v>1.2157718895935421E-3</v>
      </c>
      <c r="C711" s="3">
        <v>0.12304831221652868</v>
      </c>
      <c r="D711" s="3">
        <v>-0.33333333333333326</v>
      </c>
    </row>
    <row r="712" spans="1:4" x14ac:dyDescent="0.35">
      <c r="A712" s="5">
        <v>45537</v>
      </c>
      <c r="B712" s="3">
        <v>2.9759519635557119E-3</v>
      </c>
      <c r="C712" s="3">
        <v>0.12264024724723388</v>
      </c>
      <c r="D712" s="3">
        <v>-0.32408866477571163</v>
      </c>
    </row>
    <row r="713" spans="1:4" x14ac:dyDescent="0.35">
      <c r="A713" s="5">
        <v>45538</v>
      </c>
      <c r="B713" s="3">
        <v>9.3644143794033852E-3</v>
      </c>
      <c r="C713" s="3">
        <v>0.12161005043950612</v>
      </c>
      <c r="D713" s="3">
        <v>-0.32997163567601639</v>
      </c>
    </row>
    <row r="714" spans="1:4" x14ac:dyDescent="0.35">
      <c r="A714" s="5">
        <v>45539</v>
      </c>
      <c r="B714" s="3">
        <v>-6.4957648271324331E-4</v>
      </c>
      <c r="C714" s="3">
        <v>0.11732202346708065</v>
      </c>
      <c r="D714" s="3">
        <v>-0.34825086668767724</v>
      </c>
    </row>
    <row r="715" spans="1:4" x14ac:dyDescent="0.35">
      <c r="A715" s="5">
        <v>45540</v>
      </c>
      <c r="B715" s="3">
        <v>-9.449810819124882E-3</v>
      </c>
      <c r="C715" s="3">
        <v>0.11369626587105142</v>
      </c>
      <c r="D715" s="3">
        <v>-0.36957663620128167</v>
      </c>
    </row>
    <row r="716" spans="1:4" x14ac:dyDescent="0.35">
      <c r="A716" s="5">
        <v>45541</v>
      </c>
      <c r="B716" s="3">
        <v>-7.1221865330099998E-3</v>
      </c>
      <c r="C716" s="3">
        <v>0.10586944596818437</v>
      </c>
      <c r="D716" s="3">
        <v>-0.37272822775501624</v>
      </c>
    </row>
    <row r="717" spans="1:4" x14ac:dyDescent="0.35">
      <c r="A717" s="5">
        <v>45544</v>
      </c>
      <c r="B717" s="3">
        <v>-1.6513614857938008E-2</v>
      </c>
      <c r="C717" s="3">
        <v>0.10477904285351136</v>
      </c>
      <c r="D717" s="3">
        <v>-0.377980880344574</v>
      </c>
    </row>
    <row r="718" spans="1:4" x14ac:dyDescent="0.35">
      <c r="A718" s="5">
        <v>45545</v>
      </c>
      <c r="B718" s="3">
        <v>-1.6297608854989432E-2</v>
      </c>
      <c r="C718" s="3">
        <v>0.11070601929277668</v>
      </c>
      <c r="D718" s="3">
        <v>-0.38029204748397938</v>
      </c>
    </row>
    <row r="719" spans="1:4" x14ac:dyDescent="0.35">
      <c r="A719" s="5">
        <v>45546</v>
      </c>
      <c r="B719" s="3">
        <v>-3.9392771854901532E-2</v>
      </c>
      <c r="C719" s="3">
        <v>9.6958912540304754E-2</v>
      </c>
      <c r="D719" s="3">
        <v>-0.39352873200966487</v>
      </c>
    </row>
    <row r="720" spans="1:4" x14ac:dyDescent="0.35">
      <c r="A720" s="5">
        <v>45547</v>
      </c>
      <c r="B720" s="3">
        <v>-3.5114953039196206E-2</v>
      </c>
      <c r="C720" s="3">
        <v>9.5962163680879842E-2</v>
      </c>
      <c r="D720" s="3">
        <v>-0.37640508456770672</v>
      </c>
    </row>
    <row r="721" spans="1:4" x14ac:dyDescent="0.35">
      <c r="A721" s="5">
        <v>45548</v>
      </c>
      <c r="B721" s="3">
        <v>-2.9781357571341815E-2</v>
      </c>
      <c r="C721" s="3">
        <v>0.10522055577110923</v>
      </c>
      <c r="D721" s="3">
        <v>-0.3651644080260531</v>
      </c>
    </row>
    <row r="722" spans="1:4" x14ac:dyDescent="0.35">
      <c r="A722" s="5">
        <v>45551</v>
      </c>
      <c r="B722" s="3">
        <v>-2.9863279679551824E-2</v>
      </c>
      <c r="C722" s="3">
        <v>0.10522055577110923</v>
      </c>
      <c r="D722" s="3">
        <v>-0.3651644080260531</v>
      </c>
    </row>
    <row r="723" spans="1:4" x14ac:dyDescent="0.35">
      <c r="A723" s="5">
        <v>45552</v>
      </c>
      <c r="B723" s="3">
        <v>-2.0712321901487307E-2</v>
      </c>
      <c r="C723" s="3">
        <v>0.11333502802938078</v>
      </c>
      <c r="D723" s="3">
        <v>-0.37251812165143394</v>
      </c>
    </row>
    <row r="724" spans="1:4" x14ac:dyDescent="0.35">
      <c r="A724" s="5">
        <v>45553</v>
      </c>
      <c r="B724" s="3">
        <v>2.247105823357276E-2</v>
      </c>
      <c r="C724" s="3">
        <v>0.11086656944463025</v>
      </c>
      <c r="D724" s="3">
        <v>-0.36852610568337008</v>
      </c>
    </row>
    <row r="725" spans="1:4" x14ac:dyDescent="0.35">
      <c r="A725" s="5">
        <v>45554</v>
      </c>
      <c r="B725" s="3">
        <v>2.4780001095051185E-2</v>
      </c>
      <c r="C725" s="3">
        <v>0.11425150181287891</v>
      </c>
      <c r="D725" s="3">
        <v>-0.35161256434499422</v>
      </c>
    </row>
    <row r="726" spans="1:4" x14ac:dyDescent="0.35">
      <c r="A726" s="5">
        <v>45555</v>
      </c>
      <c r="B726" s="3">
        <v>2.5969552992314071E-2</v>
      </c>
      <c r="C726" s="3">
        <v>0.11637210173527968</v>
      </c>
      <c r="D726" s="3">
        <v>-0.34909129110200654</v>
      </c>
    </row>
    <row r="727" spans="1:4" x14ac:dyDescent="0.35">
      <c r="A727" s="5">
        <v>45558</v>
      </c>
      <c r="B727" s="3">
        <v>2.4094337002764643E-3</v>
      </c>
      <c r="C727" s="3">
        <v>0.11401736617475899</v>
      </c>
      <c r="D727" s="3">
        <v>-0.35581468641664038</v>
      </c>
    </row>
    <row r="728" spans="1:4" x14ac:dyDescent="0.35">
      <c r="A728" s="5">
        <v>45559</v>
      </c>
      <c r="B728" s="3">
        <v>-5.9848126669923563E-3</v>
      </c>
      <c r="C728" s="3">
        <v>0.11740898813266787</v>
      </c>
      <c r="D728" s="3">
        <v>-0.3665300976993382</v>
      </c>
    </row>
    <row r="729" spans="1:4" x14ac:dyDescent="0.35">
      <c r="A729" s="5">
        <v>45560</v>
      </c>
      <c r="B729" s="3">
        <v>-9.232099120883519E-3</v>
      </c>
      <c r="C729" s="3">
        <v>0.11942255462049967</v>
      </c>
      <c r="D729" s="3">
        <v>-0.37955667612144128</v>
      </c>
    </row>
    <row r="730" spans="1:4" x14ac:dyDescent="0.35">
      <c r="A730" s="5">
        <v>45561</v>
      </c>
      <c r="B730" s="3">
        <v>-1.0047486449754395E-2</v>
      </c>
      <c r="C730" s="3">
        <v>0.11804449915042214</v>
      </c>
      <c r="D730" s="3">
        <v>-0.38060720663935288</v>
      </c>
    </row>
    <row r="731" spans="1:4" x14ac:dyDescent="0.35">
      <c r="A731" s="5">
        <v>45562</v>
      </c>
      <c r="B731" s="3">
        <v>-1.6004684116690315E-2</v>
      </c>
      <c r="C731" s="3">
        <v>0.1105320899616018</v>
      </c>
      <c r="D731" s="3">
        <v>-0.38249816157159366</v>
      </c>
    </row>
    <row r="732" spans="1:4" x14ac:dyDescent="0.35">
      <c r="A732" s="5">
        <v>45565</v>
      </c>
      <c r="B732" s="3">
        <v>-2.2123159334748621E-2</v>
      </c>
      <c r="C732" s="3">
        <v>0.1030531287210843</v>
      </c>
      <c r="D732" s="3">
        <v>-0.38197289631263787</v>
      </c>
    </row>
    <row r="733" spans="1:4" x14ac:dyDescent="0.35">
      <c r="A733" s="5">
        <v>45566</v>
      </c>
      <c r="B733" s="3">
        <v>-1.3622217665729686E-2</v>
      </c>
      <c r="C733" s="3">
        <v>0.10805694178719083</v>
      </c>
      <c r="D733" s="3">
        <v>-0.37031200756381977</v>
      </c>
    </row>
    <row r="734" spans="1:4" x14ac:dyDescent="0.35">
      <c r="A734" s="5">
        <v>45567</v>
      </c>
      <c r="B734" s="3">
        <v>-2.1772354669510441E-2</v>
      </c>
      <c r="C734" s="3">
        <v>9.6631122646936962E-2</v>
      </c>
      <c r="D734" s="3">
        <v>-0.3782960394999475</v>
      </c>
    </row>
    <row r="735" spans="1:4" x14ac:dyDescent="0.35">
      <c r="A735" s="5">
        <v>45568</v>
      </c>
      <c r="B735" s="3">
        <v>-2.1799905709669942E-2</v>
      </c>
      <c r="C735" s="3">
        <v>9.8129590730904548E-2</v>
      </c>
      <c r="D735" s="3">
        <v>-0.38617501838428403</v>
      </c>
    </row>
    <row r="736" spans="1:4" x14ac:dyDescent="0.35">
      <c r="A736" s="5">
        <v>45569</v>
      </c>
      <c r="B736" s="3">
        <v>-2.1421338822950164E-2</v>
      </c>
      <c r="C736" s="3">
        <v>9.0383045903964288E-2</v>
      </c>
      <c r="D736" s="3">
        <v>-0.3910074587666772</v>
      </c>
    </row>
    <row r="737" spans="1:4" x14ac:dyDescent="0.35">
      <c r="A737" s="5">
        <v>45572</v>
      </c>
      <c r="B737" s="3">
        <v>-1.7442861408788923E-2</v>
      </c>
      <c r="C737" s="3">
        <v>9.3941907603387609E-2</v>
      </c>
      <c r="D737" s="3">
        <v>-0.38050215358756168</v>
      </c>
    </row>
    <row r="738" spans="1:4" x14ac:dyDescent="0.35">
      <c r="A738" s="5">
        <v>45573</v>
      </c>
      <c r="B738" s="3">
        <v>-1.8688896187322168E-2</v>
      </c>
      <c r="C738" s="3">
        <v>9.416266406218643E-2</v>
      </c>
      <c r="D738" s="3">
        <v>-0.38375879819308756</v>
      </c>
    </row>
    <row r="739" spans="1:4" x14ac:dyDescent="0.35">
      <c r="A739" s="5">
        <v>45574</v>
      </c>
      <c r="B739" s="3">
        <v>-1.4574141841617205E-2</v>
      </c>
      <c r="C739" s="3">
        <v>9.3687703196286165E-2</v>
      </c>
      <c r="D739" s="3">
        <v>-0.38176279020905557</v>
      </c>
    </row>
    <row r="740" spans="1:4" x14ac:dyDescent="0.35">
      <c r="A740" s="5">
        <v>45575</v>
      </c>
      <c r="B740" s="3">
        <v>-6.2358747693893601E-3</v>
      </c>
      <c r="C740" s="3">
        <v>9.7721525761609973E-2</v>
      </c>
      <c r="D740" s="3">
        <v>-0.37619497846412431</v>
      </c>
    </row>
    <row r="741" spans="1:4" x14ac:dyDescent="0.35">
      <c r="A741" s="5">
        <v>45576</v>
      </c>
      <c r="B741" s="3">
        <v>2.1021648767998169E-3</v>
      </c>
      <c r="C741" s="3">
        <v>9.2777919002448472E-2</v>
      </c>
      <c r="D741" s="3">
        <v>-0.38375879819308756</v>
      </c>
    </row>
    <row r="742" spans="1:4" x14ac:dyDescent="0.35">
      <c r="A742" s="5">
        <v>45579</v>
      </c>
      <c r="B742" s="3">
        <v>-2.2079201130343118E-2</v>
      </c>
      <c r="C742" s="3">
        <v>9.4778106310958954E-2</v>
      </c>
      <c r="D742" s="3">
        <v>-0.38880134467906291</v>
      </c>
    </row>
    <row r="743" spans="1:4" x14ac:dyDescent="0.35">
      <c r="A743" s="5">
        <v>45580</v>
      </c>
      <c r="B743" s="3">
        <v>-2.3739346236556491E-2</v>
      </c>
      <c r="C743" s="3">
        <v>9.8410553496648623E-2</v>
      </c>
      <c r="D743" s="3">
        <v>-0.39006198130055669</v>
      </c>
    </row>
    <row r="744" spans="1:4" x14ac:dyDescent="0.35">
      <c r="A744" s="5">
        <v>45581</v>
      </c>
      <c r="B744" s="3">
        <v>-2.7015808202314529E-2</v>
      </c>
      <c r="C744" s="3">
        <v>9.216247675367617E-2</v>
      </c>
      <c r="D744" s="3">
        <v>-0.38943166298980991</v>
      </c>
    </row>
    <row r="745" spans="1:4" x14ac:dyDescent="0.35">
      <c r="A745" s="5">
        <v>45582</v>
      </c>
      <c r="B745" s="3">
        <v>-3.11044247982456E-2</v>
      </c>
      <c r="C745" s="3">
        <v>9.8056005244638422E-2</v>
      </c>
      <c r="D745" s="3">
        <v>-0.38564975312532834</v>
      </c>
    </row>
    <row r="746" spans="1:4" x14ac:dyDescent="0.35">
      <c r="A746" s="5">
        <v>45583</v>
      </c>
      <c r="B746" s="3">
        <v>-8.551591677887771E-3</v>
      </c>
      <c r="C746" s="3">
        <v>0.10109976854019775</v>
      </c>
      <c r="D746" s="3">
        <v>-0.377350562033827</v>
      </c>
    </row>
    <row r="747" spans="1:4" x14ac:dyDescent="0.35">
      <c r="A747" s="5">
        <v>45586</v>
      </c>
      <c r="B747" s="3">
        <v>-1.8219797492342593E-2</v>
      </c>
      <c r="C747" s="3">
        <v>0.10089239126072025</v>
      </c>
      <c r="D747" s="3">
        <v>-0.37272822775501624</v>
      </c>
    </row>
    <row r="748" spans="1:4" x14ac:dyDescent="0.35">
      <c r="A748" s="5">
        <v>45587</v>
      </c>
      <c r="B748" s="3">
        <v>-1.946583227087606E-2</v>
      </c>
      <c r="C748" s="3">
        <v>9.8791860107301011E-2</v>
      </c>
      <c r="D748" s="3">
        <v>-0.37073221977098436</v>
      </c>
    </row>
    <row r="749" spans="1:4" x14ac:dyDescent="0.35">
      <c r="A749" s="5">
        <v>45588</v>
      </c>
      <c r="B749" s="3">
        <v>-5.1982914929666113E-2</v>
      </c>
      <c r="C749" s="3">
        <v>9.8116211551583454E-2</v>
      </c>
      <c r="D749" s="3">
        <v>-0.36936653009769926</v>
      </c>
    </row>
    <row r="750" spans="1:4" x14ac:dyDescent="0.35">
      <c r="A750" s="5">
        <v>45589</v>
      </c>
      <c r="B750" s="3">
        <v>-5.1603552051809776E-2</v>
      </c>
      <c r="C750" s="3">
        <v>9.1894893167253189E-2</v>
      </c>
      <c r="D750" s="3">
        <v>-0.37482928879083943</v>
      </c>
    </row>
    <row r="751" spans="1:4" x14ac:dyDescent="0.35">
      <c r="A751" s="5">
        <v>45590</v>
      </c>
      <c r="B751" s="3">
        <v>-5.7713596261705913E-2</v>
      </c>
      <c r="C751" s="3">
        <v>8.2576294770078773E-2</v>
      </c>
      <c r="D751" s="3">
        <v>-0.37882130475890319</v>
      </c>
    </row>
    <row r="752" spans="1:4" x14ac:dyDescent="0.35">
      <c r="A752" s="5">
        <v>45593</v>
      </c>
      <c r="B752" s="3">
        <v>-7.7693184973772422E-2</v>
      </c>
      <c r="C752" s="3">
        <v>7.7338346065852326E-2</v>
      </c>
      <c r="D752" s="3">
        <v>-0.38092236579472627</v>
      </c>
    </row>
    <row r="753" spans="1:4" x14ac:dyDescent="0.35">
      <c r="A753" s="5">
        <v>45594</v>
      </c>
      <c r="B753" s="3">
        <v>-7.5932338866410154E-2</v>
      </c>
      <c r="C753" s="3">
        <v>8.042224689937516E-2</v>
      </c>
      <c r="D753" s="3">
        <v>-0.3769303498266624</v>
      </c>
    </row>
    <row r="754" spans="1:4" x14ac:dyDescent="0.35">
      <c r="A754" s="5">
        <v>45595</v>
      </c>
      <c r="B754" s="3">
        <v>-0.1050364876912937</v>
      </c>
      <c r="C754" s="3">
        <v>7.1591988547422547E-2</v>
      </c>
      <c r="D754" s="3">
        <v>-0.38417901040025215</v>
      </c>
    </row>
    <row r="755" spans="1:4" x14ac:dyDescent="0.35">
      <c r="A755" s="5">
        <v>45596</v>
      </c>
      <c r="B755" s="3">
        <v>-0.10506179696049667</v>
      </c>
      <c r="C755" s="3">
        <v>7.1591988547422547E-2</v>
      </c>
      <c r="D755" s="3">
        <v>-0.38417901040025215</v>
      </c>
    </row>
    <row r="756" spans="1:4" x14ac:dyDescent="0.35">
      <c r="A756" s="5">
        <v>45597</v>
      </c>
      <c r="B756" s="3">
        <v>-0.10352018955478048</v>
      </c>
      <c r="C756" s="3">
        <v>7.2996802376142256E-2</v>
      </c>
      <c r="D756" s="3">
        <v>-0.38754070805756913</v>
      </c>
    </row>
    <row r="757" spans="1:4" x14ac:dyDescent="0.35">
      <c r="A757" s="5">
        <v>45600</v>
      </c>
      <c r="B757" s="3">
        <v>-9.8154283344663584E-2</v>
      </c>
      <c r="C757" s="3">
        <v>8.1325341503552195E-2</v>
      </c>
      <c r="D757" s="3">
        <v>-0.3905872465595126</v>
      </c>
    </row>
    <row r="758" spans="1:4" x14ac:dyDescent="0.35">
      <c r="A758" s="5">
        <v>45601</v>
      </c>
      <c r="B758" s="3">
        <v>-9.6555315842955181E-2</v>
      </c>
      <c r="C758" s="3">
        <v>8.4181796288615773E-2</v>
      </c>
      <c r="D758" s="3">
        <v>-0.38985187519697451</v>
      </c>
    </row>
    <row r="759" spans="1:4" x14ac:dyDescent="0.35">
      <c r="A759" s="5">
        <v>45602</v>
      </c>
      <c r="B759" s="3">
        <v>-8.3585095122783226E-2</v>
      </c>
      <c r="C759" s="3">
        <v>9.3192673561403927E-2</v>
      </c>
      <c r="D759" s="3">
        <v>-0.35213782960395001</v>
      </c>
    </row>
    <row r="760" spans="1:4" x14ac:dyDescent="0.35">
      <c r="A760" s="5">
        <v>45603</v>
      </c>
      <c r="B760" s="3">
        <v>-8.3611005446518005E-2</v>
      </c>
      <c r="C760" s="3">
        <v>8.5907710421042838E-2</v>
      </c>
      <c r="D760" s="3">
        <v>-0.34404874461603108</v>
      </c>
    </row>
    <row r="761" spans="1:4" x14ac:dyDescent="0.35">
      <c r="A761" s="5">
        <v>45604</v>
      </c>
      <c r="B761" s="3">
        <v>-9.3383762260068615E-2</v>
      </c>
      <c r="C761" s="3">
        <v>8.4543034130286632E-2</v>
      </c>
      <c r="D761" s="3">
        <v>-0.35760058829709007</v>
      </c>
    </row>
    <row r="762" spans="1:4" x14ac:dyDescent="0.35">
      <c r="A762" s="5">
        <v>45607</v>
      </c>
      <c r="B762" s="3">
        <v>-9.2404806874967993E-2</v>
      </c>
      <c r="C762" s="3">
        <v>7.652890571692339E-2</v>
      </c>
      <c r="D762" s="3">
        <v>-0.36905137094232587</v>
      </c>
    </row>
    <row r="763" spans="1:4" x14ac:dyDescent="0.35">
      <c r="A763" s="5">
        <v>45608</v>
      </c>
      <c r="B763" s="3">
        <v>-8.8369310503872645E-2</v>
      </c>
      <c r="C763" s="3">
        <v>7.597366977509612E-2</v>
      </c>
      <c r="D763" s="3">
        <v>-0.37241306859964274</v>
      </c>
    </row>
    <row r="764" spans="1:4" x14ac:dyDescent="0.35">
      <c r="A764" s="5">
        <v>45609</v>
      </c>
      <c r="B764" s="3">
        <v>-9.3349404683454651E-2</v>
      </c>
      <c r="C764" s="3">
        <v>7.8027373800891198E-2</v>
      </c>
      <c r="D764" s="3">
        <v>-0.36915642399411708</v>
      </c>
    </row>
    <row r="765" spans="1:4" x14ac:dyDescent="0.35">
      <c r="A765" s="5">
        <v>45610</v>
      </c>
      <c r="B765" s="3">
        <v>-4.1635631207318502E-2</v>
      </c>
      <c r="C765" s="3">
        <v>7.0789237788154269E-2</v>
      </c>
      <c r="D765" s="3">
        <v>-0.3660048324403824</v>
      </c>
    </row>
    <row r="766" spans="1:4" x14ac:dyDescent="0.35">
      <c r="A766" s="5">
        <v>45611</v>
      </c>
      <c r="B766" s="3">
        <v>-4.1825142076717392E-2</v>
      </c>
      <c r="C766" s="3">
        <v>6.5277015907844405E-2</v>
      </c>
      <c r="D766" s="3">
        <v>-0.37409391742830134</v>
      </c>
    </row>
    <row r="767" spans="1:4" x14ac:dyDescent="0.35">
      <c r="A767" s="5">
        <v>45614</v>
      </c>
      <c r="B767" s="3">
        <v>-4.6779748295208368E-2</v>
      </c>
      <c r="C767" s="3">
        <v>7.3036939914105758E-2</v>
      </c>
      <c r="D767" s="3">
        <v>-0.3782960394999475</v>
      </c>
    </row>
    <row r="768" spans="1:4" x14ac:dyDescent="0.35">
      <c r="A768" s="5">
        <v>45615</v>
      </c>
      <c r="B768" s="3">
        <v>-4.599446242707772E-2</v>
      </c>
      <c r="C768" s="3">
        <v>7.1899709671808809E-2</v>
      </c>
      <c r="D768" s="3">
        <v>-0.3774556150856182</v>
      </c>
    </row>
    <row r="769" spans="1:4" x14ac:dyDescent="0.35">
      <c r="A769" s="5">
        <v>45616</v>
      </c>
      <c r="B769" s="3">
        <v>-4.3259826754644459E-2</v>
      </c>
      <c r="C769" s="3">
        <v>6.9116840373011579E-2</v>
      </c>
      <c r="D769" s="3">
        <v>-0.37714045593024481</v>
      </c>
    </row>
    <row r="770" spans="1:4" x14ac:dyDescent="0.35">
      <c r="A770" s="5">
        <v>45617</v>
      </c>
      <c r="B770" s="3">
        <v>-8.1412250500960237E-2</v>
      </c>
      <c r="C770" s="3">
        <v>6.2761730195469934E-2</v>
      </c>
      <c r="D770" s="3">
        <v>-0.3790314108624856</v>
      </c>
    </row>
    <row r="771" spans="1:4" x14ac:dyDescent="0.35">
      <c r="A771" s="5">
        <v>45618</v>
      </c>
      <c r="B771" s="3">
        <v>-7.0378838663508692E-2</v>
      </c>
      <c r="C771" s="3">
        <v>6.3497585058132522E-2</v>
      </c>
      <c r="D771" s="3">
        <v>-0.3785061456035298</v>
      </c>
    </row>
    <row r="772" spans="1:4" x14ac:dyDescent="0.35">
      <c r="A772" s="5">
        <v>45621</v>
      </c>
      <c r="B772" s="3">
        <v>-6.9034052249875688E-2</v>
      </c>
      <c r="C772" s="3">
        <v>6.8628500327789999E-2</v>
      </c>
      <c r="D772" s="3">
        <v>-0.36631999159575579</v>
      </c>
    </row>
    <row r="773" spans="1:4" x14ac:dyDescent="0.35">
      <c r="A773" s="5">
        <v>45622</v>
      </c>
      <c r="B773" s="3">
        <v>-6.3862075472201907E-2</v>
      </c>
      <c r="C773" s="3">
        <v>7.2441566434314986E-2</v>
      </c>
      <c r="D773" s="3">
        <v>-0.37409391742830134</v>
      </c>
    </row>
    <row r="774" spans="1:4" x14ac:dyDescent="0.35">
      <c r="A774" s="5">
        <v>45623</v>
      </c>
      <c r="B774" s="3">
        <v>-7.7209222362669139E-2</v>
      </c>
      <c r="C774" s="3">
        <v>7.3177421296977796E-2</v>
      </c>
      <c r="D774" s="3">
        <v>-0.37325349301397204</v>
      </c>
    </row>
    <row r="775" spans="1:4" x14ac:dyDescent="0.35">
      <c r="A775" s="5">
        <v>45624</v>
      </c>
      <c r="B775" s="3">
        <v>-8.795684089261735E-2</v>
      </c>
      <c r="C775" s="3">
        <v>6.8655258686432186E-2</v>
      </c>
      <c r="D775" s="3">
        <v>-0.38302342683054946</v>
      </c>
    </row>
    <row r="776" spans="1:4" x14ac:dyDescent="0.35">
      <c r="A776" s="5">
        <v>45625</v>
      </c>
      <c r="B776" s="3">
        <v>-0.10284656987182494</v>
      </c>
      <c r="C776" s="3">
        <v>6.6514589995049667E-2</v>
      </c>
      <c r="D776" s="3">
        <v>-0.38564975312532834</v>
      </c>
    </row>
    <row r="777" spans="1:4" x14ac:dyDescent="0.35">
      <c r="A777" s="5">
        <v>45628</v>
      </c>
      <c r="B777" s="3">
        <v>-9.3289900284808103E-2</v>
      </c>
      <c r="C777" s="3">
        <v>6.7310651164657731E-2</v>
      </c>
      <c r="D777" s="3">
        <v>-0.37871625170711209</v>
      </c>
    </row>
    <row r="778" spans="1:4" x14ac:dyDescent="0.35">
      <c r="A778" s="5">
        <v>45629</v>
      </c>
      <c r="B778" s="3">
        <v>-6.2996833106627403E-2</v>
      </c>
      <c r="C778" s="3">
        <v>7.4990300094992302E-2</v>
      </c>
      <c r="D778" s="3">
        <v>-0.36978674230486397</v>
      </c>
    </row>
    <row r="779" spans="1:4" x14ac:dyDescent="0.35">
      <c r="A779" s="5">
        <v>45630</v>
      </c>
      <c r="B779" s="3">
        <v>-5.132076401696517E-2</v>
      </c>
      <c r="C779" s="3">
        <v>7.9759977522978698E-2</v>
      </c>
      <c r="D779" s="3">
        <v>-0.3531883601218615</v>
      </c>
    </row>
    <row r="780" spans="1:4" x14ac:dyDescent="0.35">
      <c r="A780" s="5">
        <v>45631</v>
      </c>
      <c r="B780" s="3">
        <v>-4.9780959774844757E-2</v>
      </c>
      <c r="C780" s="3">
        <v>8.0796863920367334E-2</v>
      </c>
      <c r="D780" s="3">
        <v>-0.35444899674335539</v>
      </c>
    </row>
    <row r="781" spans="1:4" x14ac:dyDescent="0.35">
      <c r="A781" s="5">
        <v>45632</v>
      </c>
      <c r="B781" s="3">
        <v>-6.2485618934247089E-3</v>
      </c>
      <c r="C781" s="3">
        <v>7.9198051991490992E-2</v>
      </c>
      <c r="D781" s="3">
        <v>-0.35024687467170923</v>
      </c>
    </row>
    <row r="782" spans="1:4" x14ac:dyDescent="0.35">
      <c r="A782" s="5">
        <v>45635</v>
      </c>
      <c r="B782" s="3">
        <v>1.4777625205643519E-2</v>
      </c>
      <c r="C782" s="3">
        <v>7.7980546673267259E-2</v>
      </c>
      <c r="D782" s="3">
        <v>-0.35161256434499422</v>
      </c>
    </row>
    <row r="783" spans="1:4" x14ac:dyDescent="0.35">
      <c r="A783" s="5">
        <v>45636</v>
      </c>
      <c r="B783" s="3">
        <v>1.3799319609225646E-2</v>
      </c>
      <c r="C783" s="3">
        <v>7.6334907616766978E-2</v>
      </c>
      <c r="D783" s="3">
        <v>-0.34772560142872144</v>
      </c>
    </row>
    <row r="784" spans="1:4" x14ac:dyDescent="0.35">
      <c r="A784" s="5">
        <v>45637</v>
      </c>
      <c r="B784" s="3">
        <v>1.0536340758639851E-2</v>
      </c>
      <c r="C784" s="3">
        <v>7.2475014382617831E-2</v>
      </c>
      <c r="D784" s="3">
        <v>-0.34446895682319567</v>
      </c>
    </row>
    <row r="785" spans="1:4" x14ac:dyDescent="0.35">
      <c r="A785" s="5">
        <v>45638</v>
      </c>
      <c r="B785" s="3">
        <v>1.3456783504978587E-2</v>
      </c>
      <c r="C785" s="3">
        <v>7.1725780340633927E-2</v>
      </c>
      <c r="D785" s="3">
        <v>-0.34509927513394256</v>
      </c>
    </row>
    <row r="786" spans="1:4" x14ac:dyDescent="0.35">
      <c r="A786" s="5">
        <v>45639</v>
      </c>
      <c r="B786" s="3">
        <v>1.5240079811339013E-2</v>
      </c>
      <c r="C786" s="3">
        <v>7.6187736644234283E-2</v>
      </c>
      <c r="D786" s="3">
        <v>-0.33081206009034558</v>
      </c>
    </row>
    <row r="787" spans="1:4" x14ac:dyDescent="0.35">
      <c r="A787" s="5">
        <v>45642</v>
      </c>
      <c r="B787" s="3">
        <v>1.1560635149097109E-2</v>
      </c>
      <c r="C787" s="3">
        <v>7.4916714608725954E-2</v>
      </c>
      <c r="D787" s="3">
        <v>-0.32419371782750284</v>
      </c>
    </row>
    <row r="788" spans="1:4" x14ac:dyDescent="0.35">
      <c r="A788" s="5">
        <v>45643</v>
      </c>
      <c r="B788" s="3">
        <v>3.4346540396072989E-3</v>
      </c>
      <c r="C788" s="3">
        <v>6.8548225251862993E-2</v>
      </c>
      <c r="D788" s="3">
        <v>-0.32639983191511712</v>
      </c>
    </row>
    <row r="789" spans="1:4" x14ac:dyDescent="0.35">
      <c r="A789" s="5">
        <v>45644</v>
      </c>
      <c r="B789" s="3">
        <v>-1.5936707049708509E-3</v>
      </c>
      <c r="C789" s="3">
        <v>7.0053382925491459E-2</v>
      </c>
      <c r="D789" s="3">
        <v>-0.32934131736526939</v>
      </c>
    </row>
    <row r="790" spans="1:4" x14ac:dyDescent="0.35">
      <c r="A790" s="5">
        <v>45645</v>
      </c>
      <c r="B790" s="3">
        <v>1.5540931971570915E-2</v>
      </c>
      <c r="C790" s="3">
        <v>7.0394551998180344E-2</v>
      </c>
      <c r="D790" s="3">
        <v>-0.33049690093497219</v>
      </c>
    </row>
    <row r="791" spans="1:4" x14ac:dyDescent="0.35">
      <c r="A791" s="5">
        <v>45646</v>
      </c>
      <c r="B791" s="3">
        <v>2.2061837565732434E-2</v>
      </c>
      <c r="C791" s="3">
        <v>6.4587988172805533E-2</v>
      </c>
      <c r="D791" s="3">
        <v>-0.33291312112616867</v>
      </c>
    </row>
    <row r="792" spans="1:4" x14ac:dyDescent="0.35">
      <c r="A792" s="5">
        <v>45649</v>
      </c>
      <c r="B792" s="3">
        <v>1.5291478096165045E-2</v>
      </c>
      <c r="C792" s="3">
        <v>6.7792301620218653E-2</v>
      </c>
      <c r="D792" s="3">
        <v>-0.32745036243302872</v>
      </c>
    </row>
    <row r="793" spans="1:4" x14ac:dyDescent="0.35">
      <c r="A793" s="5">
        <v>45650</v>
      </c>
      <c r="B793" s="3">
        <v>2.1035300104741195E-2</v>
      </c>
      <c r="C793" s="3">
        <v>7.2334532999745793E-2</v>
      </c>
      <c r="D793" s="3">
        <v>-0.32660993801869953</v>
      </c>
    </row>
    <row r="794" spans="1:4" x14ac:dyDescent="0.35">
      <c r="A794" s="5">
        <v>45651</v>
      </c>
      <c r="B794" s="3">
        <v>2.1031661288116288E-2</v>
      </c>
      <c r="C794" s="3">
        <v>7.2334532999745793E-2</v>
      </c>
      <c r="D794" s="3">
        <v>-0.32660993801869953</v>
      </c>
    </row>
    <row r="795" spans="1:4" x14ac:dyDescent="0.35">
      <c r="A795" s="5">
        <v>45652</v>
      </c>
      <c r="B795" s="3">
        <v>3.3192775910455996E-2</v>
      </c>
      <c r="C795" s="3">
        <v>7.9499083526216596E-2</v>
      </c>
      <c r="D795" s="3">
        <v>-0.318100640823616</v>
      </c>
    </row>
    <row r="796" spans="1:4" x14ac:dyDescent="0.35">
      <c r="A796" s="5">
        <v>45653</v>
      </c>
      <c r="B796" s="3">
        <v>4.1313758796661881E-2</v>
      </c>
      <c r="C796" s="3">
        <v>8.9158850996080119E-2</v>
      </c>
      <c r="D796" s="3">
        <v>-0.31526420842525471</v>
      </c>
    </row>
    <row r="797" spans="1:4" x14ac:dyDescent="0.35">
      <c r="A797" s="5">
        <v>45656</v>
      </c>
      <c r="B797" s="3">
        <v>4.7096806598665442E-2</v>
      </c>
      <c r="C797" s="3">
        <v>9.5540719532263951E-2</v>
      </c>
      <c r="D797" s="3">
        <v>-0.31631473894316631</v>
      </c>
    </row>
    <row r="798" spans="1:4" x14ac:dyDescent="0.35">
      <c r="A798" s="5">
        <v>45657</v>
      </c>
      <c r="B798" s="3">
        <v>4.7884570760832634E-2</v>
      </c>
      <c r="C798" s="3">
        <v>9.8651378724428973E-2</v>
      </c>
      <c r="D798" s="3">
        <v>-0.31736526946107779</v>
      </c>
    </row>
    <row r="799" spans="1:4" x14ac:dyDescent="0.35">
      <c r="A799" s="5">
        <v>45658</v>
      </c>
      <c r="B799" s="3">
        <v>4.7880850720622536E-2</v>
      </c>
      <c r="C799" s="3">
        <v>9.8651378724428973E-2</v>
      </c>
      <c r="D799" s="3">
        <v>-0.31736526946107779</v>
      </c>
    </row>
    <row r="800" spans="1:4" x14ac:dyDescent="0.35">
      <c r="A800" s="5">
        <v>45659</v>
      </c>
      <c r="B800" s="3">
        <v>4.771868178938532E-2</v>
      </c>
      <c r="C800" s="3">
        <v>9.2323026905529515E-2</v>
      </c>
      <c r="D800" s="3">
        <v>-0.3155793675806281</v>
      </c>
    </row>
    <row r="801" spans="1:4" x14ac:dyDescent="0.35">
      <c r="A801" s="5">
        <v>45660</v>
      </c>
      <c r="B801" s="3">
        <v>5.9407465277962812E-2</v>
      </c>
      <c r="C801" s="3">
        <v>9.004187683127518E-2</v>
      </c>
      <c r="D801" s="3">
        <v>-0.31915117134152748</v>
      </c>
    </row>
    <row r="802" spans="1:4" x14ac:dyDescent="0.35">
      <c r="A802" s="5">
        <v>45663</v>
      </c>
      <c r="B802" s="3">
        <v>5.3061990590878017E-2</v>
      </c>
      <c r="C802" s="3">
        <v>8.7372730556707801E-2</v>
      </c>
      <c r="D802" s="3">
        <v>-0.32020170185943908</v>
      </c>
    </row>
    <row r="803" spans="1:4" x14ac:dyDescent="0.35">
      <c r="A803" s="5">
        <v>45664</v>
      </c>
      <c r="B803" s="3">
        <v>5.7093002997697706E-2</v>
      </c>
      <c r="C803" s="3">
        <v>9.0262633290074001E-2</v>
      </c>
      <c r="D803" s="3">
        <v>-0.30854081311062087</v>
      </c>
    </row>
    <row r="804" spans="1:4" x14ac:dyDescent="0.35">
      <c r="A804" s="5">
        <v>45665</v>
      </c>
      <c r="B804" s="3">
        <v>4.309924245417629E-2</v>
      </c>
      <c r="C804" s="3">
        <v>8.0255007157860936E-2</v>
      </c>
      <c r="D804" s="3">
        <v>-0.32293308120600894</v>
      </c>
    </row>
    <row r="805" spans="1:4" x14ac:dyDescent="0.35">
      <c r="A805" s="5">
        <v>45666</v>
      </c>
      <c r="B805" s="3">
        <v>1.2640527895980247E-2</v>
      </c>
      <c r="C805" s="3">
        <v>7.0876202453741488E-2</v>
      </c>
      <c r="D805" s="3">
        <v>-0.33963651644080262</v>
      </c>
    </row>
    <row r="806" spans="1:4" x14ac:dyDescent="0.35">
      <c r="A806" s="5">
        <v>45667</v>
      </c>
      <c r="B806" s="3">
        <v>2.9421007079095451E-2</v>
      </c>
      <c r="C806" s="3">
        <v>7.1946536799432748E-2</v>
      </c>
      <c r="D806" s="3">
        <v>-0.34257800189095489</v>
      </c>
    </row>
    <row r="807" spans="1:4" x14ac:dyDescent="0.35">
      <c r="A807" s="5">
        <v>45670</v>
      </c>
      <c r="B807" s="3">
        <v>-1.4075403287057142E-3</v>
      </c>
      <c r="C807" s="3">
        <v>6.069464699035354E-2</v>
      </c>
      <c r="D807" s="3">
        <v>-0.3532934131736527</v>
      </c>
    </row>
    <row r="808" spans="1:4" x14ac:dyDescent="0.35">
      <c r="A808" s="5">
        <v>45671</v>
      </c>
      <c r="B808" s="3">
        <v>-1.1938557519314275E-2</v>
      </c>
      <c r="C808" s="3">
        <v>5.4587051630253125E-2</v>
      </c>
      <c r="D808" s="3">
        <v>-0.35875617186679276</v>
      </c>
    </row>
    <row r="809" spans="1:4" x14ac:dyDescent="0.35">
      <c r="A809" s="5">
        <v>45672</v>
      </c>
      <c r="B809" s="3">
        <v>-3.0807005861499093E-2</v>
      </c>
      <c r="C809" s="3">
        <v>4.4994180056995292E-2</v>
      </c>
      <c r="D809" s="3">
        <v>-0.37997688832860588</v>
      </c>
    </row>
    <row r="810" spans="1:4" x14ac:dyDescent="0.35">
      <c r="A810" s="5">
        <v>45673</v>
      </c>
      <c r="B810" s="3">
        <v>-2.674875236372154E-2</v>
      </c>
      <c r="C810" s="3">
        <v>4.059243006034019E-2</v>
      </c>
      <c r="D810" s="3">
        <v>-0.36905137094232587</v>
      </c>
    </row>
    <row r="811" spans="1:4" x14ac:dyDescent="0.35">
      <c r="A811" s="5">
        <v>45674</v>
      </c>
      <c r="B811" s="3">
        <v>-1.4605667281767043E-2</v>
      </c>
      <c r="C811" s="3">
        <v>4.8071391300857691E-2</v>
      </c>
      <c r="D811" s="3">
        <v>-0.36190776342052733</v>
      </c>
    </row>
    <row r="812" spans="1:4" x14ac:dyDescent="0.35">
      <c r="A812" s="5">
        <v>45677</v>
      </c>
      <c r="B812" s="3">
        <v>-7.893508929684212E-3</v>
      </c>
      <c r="C812" s="3">
        <v>5.1830940690098082E-2</v>
      </c>
      <c r="D812" s="3">
        <v>-0.35612984557201388</v>
      </c>
    </row>
    <row r="813" spans="1:4" x14ac:dyDescent="0.35">
      <c r="A813" s="5">
        <v>45678</v>
      </c>
      <c r="B813" s="3">
        <v>-9.2300756052254851E-4</v>
      </c>
      <c r="C813" s="3">
        <v>5.7262887494481163E-2</v>
      </c>
      <c r="D813" s="3">
        <v>-0.34625485870364536</v>
      </c>
    </row>
    <row r="814" spans="1:4" x14ac:dyDescent="0.35">
      <c r="A814" s="5">
        <v>45679</v>
      </c>
      <c r="B814" s="3">
        <v>-3.935859419605503E-3</v>
      </c>
      <c r="C814" s="3">
        <v>6.2173046305339597E-2</v>
      </c>
      <c r="D814" s="3">
        <v>-0.353503519277235</v>
      </c>
    </row>
    <row r="815" spans="1:4" x14ac:dyDescent="0.35">
      <c r="A815" s="5">
        <v>45680</v>
      </c>
      <c r="B815" s="3">
        <v>-5.9102792734075926E-3</v>
      </c>
      <c r="C815" s="3">
        <v>5.5082081265135363E-2</v>
      </c>
      <c r="D815" s="3">
        <v>-0.36264313478306542</v>
      </c>
    </row>
    <row r="816" spans="1:4" x14ac:dyDescent="0.35">
      <c r="A816" s="5">
        <v>45681</v>
      </c>
      <c r="B816" s="3">
        <v>-1.6121982345275288E-2</v>
      </c>
      <c r="C816" s="3">
        <v>5.2760793652917304E-2</v>
      </c>
      <c r="D816" s="3">
        <v>-0.36863115873516128</v>
      </c>
    </row>
    <row r="817" spans="1:4" x14ac:dyDescent="0.35">
      <c r="A817" s="5">
        <v>45684</v>
      </c>
      <c r="B817" s="3">
        <v>-5.0203017018118246E-2</v>
      </c>
      <c r="C817" s="3">
        <v>4.288695931391584E-2</v>
      </c>
      <c r="D817" s="3">
        <v>-0.38312847988234056</v>
      </c>
    </row>
    <row r="818" spans="1:4" x14ac:dyDescent="0.35">
      <c r="A818" s="5">
        <v>45685</v>
      </c>
      <c r="B818" s="3">
        <v>-4.944679454081724E-2</v>
      </c>
      <c r="C818" s="3">
        <v>3.8685897007077585E-2</v>
      </c>
      <c r="D818" s="3">
        <v>-0.3901670343523479</v>
      </c>
    </row>
    <row r="819" spans="1:4" x14ac:dyDescent="0.35">
      <c r="A819" s="5">
        <v>45686</v>
      </c>
      <c r="B819" s="3">
        <v>-4.9450238420837178E-2</v>
      </c>
      <c r="C819" s="3">
        <v>3.8685897007077585E-2</v>
      </c>
      <c r="D819" s="3">
        <v>-0.3901670343523479</v>
      </c>
    </row>
    <row r="820" spans="1:4" x14ac:dyDescent="0.35">
      <c r="A820" s="5">
        <v>45687</v>
      </c>
      <c r="B820" s="3">
        <v>-4.9453682300857116E-2</v>
      </c>
      <c r="C820" s="3">
        <v>3.8685897007077585E-2</v>
      </c>
      <c r="D820" s="3">
        <v>-0.3901670343523479</v>
      </c>
    </row>
    <row r="821" spans="1:4" x14ac:dyDescent="0.35">
      <c r="A821" s="5">
        <v>45688</v>
      </c>
      <c r="B821" s="3">
        <v>-4.3119253907670796E-2</v>
      </c>
      <c r="C821" s="3">
        <v>4.1515593433498976E-2</v>
      </c>
      <c r="D821" s="3">
        <v>-0.388906397730854</v>
      </c>
    </row>
    <row r="822" spans="1:4" x14ac:dyDescent="0.35">
      <c r="A822" s="5">
        <v>45691</v>
      </c>
      <c r="B822" s="3">
        <v>-5.3244201385719947E-2</v>
      </c>
      <c r="C822" s="3">
        <v>3.9314718435171425E-2</v>
      </c>
      <c r="D822" s="3">
        <v>-0.39279336064712678</v>
      </c>
    </row>
    <row r="823" spans="1:4" x14ac:dyDescent="0.35">
      <c r="A823" s="5">
        <v>45692</v>
      </c>
      <c r="B823" s="3">
        <v>-4.6609243257445865E-2</v>
      </c>
      <c r="C823" s="3">
        <v>4.662643993417448E-2</v>
      </c>
      <c r="D823" s="3">
        <v>-0.39142767097384179</v>
      </c>
    </row>
    <row r="824" spans="1:4" x14ac:dyDescent="0.35">
      <c r="A824" s="5">
        <v>45693</v>
      </c>
      <c r="B824" s="3">
        <v>-3.2444608921084583E-2</v>
      </c>
      <c r="C824" s="3">
        <v>5.3282581646441951E-2</v>
      </c>
      <c r="D824" s="3">
        <v>-0.38228805546801137</v>
      </c>
    </row>
    <row r="825" spans="1:4" x14ac:dyDescent="0.35">
      <c r="A825" s="5">
        <v>45694</v>
      </c>
      <c r="B825" s="3">
        <v>-2.2753906545209479E-2</v>
      </c>
      <c r="C825" s="3">
        <v>6.0413684224609687E-2</v>
      </c>
      <c r="D825" s="3">
        <v>-0.37955667612144128</v>
      </c>
    </row>
    <row r="826" spans="1:4" x14ac:dyDescent="0.35">
      <c r="A826" s="5">
        <v>45695</v>
      </c>
      <c r="B826" s="3">
        <v>1.2670642352494044E-2</v>
      </c>
      <c r="C826" s="3">
        <v>6.4253508689777084E-2</v>
      </c>
      <c r="D826" s="3">
        <v>-0.36264313478306542</v>
      </c>
    </row>
    <row r="827" spans="1:4" x14ac:dyDescent="0.35">
      <c r="A827" s="5">
        <v>45698</v>
      </c>
      <c r="B827" s="3">
        <v>5.074582432973429E-3</v>
      </c>
      <c r="C827" s="3">
        <v>6.4253508689777084E-2</v>
      </c>
      <c r="D827" s="3">
        <v>-0.36264313478306542</v>
      </c>
    </row>
    <row r="828" spans="1:4" x14ac:dyDescent="0.35">
      <c r="A828" s="5">
        <v>45699</v>
      </c>
      <c r="B828" s="3">
        <v>5.0709761057827762E-3</v>
      </c>
      <c r="C828" s="3">
        <v>6.4253508689777084E-2</v>
      </c>
      <c r="D828" s="3">
        <v>-0.36264313478306542</v>
      </c>
    </row>
    <row r="829" spans="1:4" x14ac:dyDescent="0.35">
      <c r="A829" s="5">
        <v>45700</v>
      </c>
      <c r="B829" s="3">
        <v>1.4056112360464557E-2</v>
      </c>
      <c r="C829" s="3">
        <v>7.2374670537709296E-2</v>
      </c>
      <c r="D829" s="3">
        <v>-0.37913646391427669</v>
      </c>
    </row>
    <row r="830" spans="1:4" x14ac:dyDescent="0.35">
      <c r="A830" s="5">
        <v>45701</v>
      </c>
      <c r="B830" s="3">
        <v>8.6011303235897785E-3</v>
      </c>
      <c r="C830" s="3">
        <v>6.5169982473275212E-2</v>
      </c>
      <c r="D830" s="3">
        <v>-0.38092236579472627</v>
      </c>
    </row>
    <row r="831" spans="1:4" x14ac:dyDescent="0.35">
      <c r="A831" s="5">
        <v>45702</v>
      </c>
      <c r="B831" s="3">
        <v>2.5884735499430711E-3</v>
      </c>
      <c r="C831" s="3">
        <v>6.4715090376356255E-2</v>
      </c>
      <c r="D831" s="3">
        <v>-0.38480932871099904</v>
      </c>
    </row>
    <row r="832" spans="1:4" x14ac:dyDescent="0.35">
      <c r="A832" s="5">
        <v>45705</v>
      </c>
      <c r="B832" s="3">
        <v>-1.2265980390017472E-2</v>
      </c>
      <c r="C832" s="3">
        <v>5.8801493116412251E-2</v>
      </c>
      <c r="D832" s="3">
        <v>-0.38859123857548061</v>
      </c>
    </row>
    <row r="833" spans="1:4" x14ac:dyDescent="0.35">
      <c r="A833" s="5">
        <v>45706</v>
      </c>
      <c r="B833" s="3">
        <v>-9.513185927732648E-3</v>
      </c>
      <c r="C833" s="3">
        <v>6.0192927765810866E-2</v>
      </c>
      <c r="D833" s="3">
        <v>-0.39153272402563288</v>
      </c>
    </row>
    <row r="834" spans="1:4" x14ac:dyDescent="0.35">
      <c r="A834" s="5">
        <v>45707</v>
      </c>
      <c r="B834" s="3">
        <v>-2.2439038378106235E-2</v>
      </c>
      <c r="C834" s="3">
        <v>5.7543850260225238E-2</v>
      </c>
      <c r="D834" s="3">
        <v>-0.40088244563504571</v>
      </c>
    </row>
    <row r="835" spans="1:4" x14ac:dyDescent="0.35">
      <c r="A835" s="5">
        <v>45708</v>
      </c>
      <c r="B835" s="3">
        <v>-1.8051489715011915E-2</v>
      </c>
      <c r="C835" s="3">
        <v>5.5396491979182061E-2</v>
      </c>
      <c r="D835" s="3">
        <v>-0.40056728647967221</v>
      </c>
    </row>
    <row r="836" spans="1:4" x14ac:dyDescent="0.35">
      <c r="A836" s="5">
        <v>45709</v>
      </c>
      <c r="B836" s="3">
        <v>-2.7710623959620762E-2</v>
      </c>
      <c r="C836" s="3">
        <v>6.4333783765703867E-2</v>
      </c>
      <c r="D836" s="3">
        <v>-0.40981195503729384</v>
      </c>
    </row>
    <row r="837" spans="1:4" x14ac:dyDescent="0.35">
      <c r="A837" s="5">
        <v>45712</v>
      </c>
      <c r="B837" s="3">
        <v>-4.6255775774429519E-2</v>
      </c>
      <c r="C837" s="3">
        <v>5.9798241975837163E-2</v>
      </c>
      <c r="D837" s="3">
        <v>-0.42588507196134051</v>
      </c>
    </row>
    <row r="838" spans="1:4" x14ac:dyDescent="0.35">
      <c r="A838" s="5">
        <v>45713</v>
      </c>
      <c r="B838" s="3">
        <v>-7.0104311798309671E-2</v>
      </c>
      <c r="C838" s="3">
        <v>4.8947727546392317E-2</v>
      </c>
      <c r="D838" s="3">
        <v>-0.44384914381762797</v>
      </c>
    </row>
    <row r="839" spans="1:4" x14ac:dyDescent="0.35">
      <c r="A839" s="5">
        <v>45714</v>
      </c>
      <c r="B839" s="3">
        <v>-7.1896491219552772E-2</v>
      </c>
      <c r="C839" s="3">
        <v>6.2781798964451685E-2</v>
      </c>
      <c r="D839" s="3">
        <v>-0.44353398466225447</v>
      </c>
    </row>
    <row r="840" spans="1:4" x14ac:dyDescent="0.35">
      <c r="A840" s="5">
        <v>45715</v>
      </c>
      <c r="B840" s="3">
        <v>-6.6503370283653829E-2</v>
      </c>
      <c r="C840" s="3">
        <v>6.1370295546071318E-2</v>
      </c>
      <c r="D840" s="3">
        <v>-0.43597016493329133</v>
      </c>
    </row>
    <row r="841" spans="1:4" x14ac:dyDescent="0.35">
      <c r="A841" s="5">
        <v>45716</v>
      </c>
      <c r="B841" s="3">
        <v>-9.5113087085929027E-2</v>
      </c>
      <c r="C841" s="3">
        <v>5.3409683849992673E-2</v>
      </c>
      <c r="D841" s="3">
        <v>-0.46906187624750495</v>
      </c>
    </row>
    <row r="842" spans="1:4" x14ac:dyDescent="0.35">
      <c r="A842" s="5">
        <v>45719</v>
      </c>
      <c r="B842" s="3">
        <v>-8.7193433896785244E-2</v>
      </c>
      <c r="C842" s="3">
        <v>5.1195429672344028E-2</v>
      </c>
      <c r="D842" s="3">
        <v>-0.47021745981720764</v>
      </c>
    </row>
    <row r="843" spans="1:4" x14ac:dyDescent="0.35">
      <c r="A843" s="5">
        <v>45720</v>
      </c>
      <c r="B843" s="3">
        <v>-0.1158331646332651</v>
      </c>
      <c r="C843" s="3">
        <v>4.0672705136266973E-2</v>
      </c>
      <c r="D843" s="3">
        <v>-0.49332913121126176</v>
      </c>
    </row>
    <row r="844" spans="1:4" x14ac:dyDescent="0.35">
      <c r="A844" s="5">
        <v>45721</v>
      </c>
      <c r="B844" s="3">
        <v>-0.10361121612838853</v>
      </c>
      <c r="C844" s="3">
        <v>4.6532785678926603E-2</v>
      </c>
      <c r="D844" s="3">
        <v>-0.48954722134678008</v>
      </c>
    </row>
    <row r="845" spans="1:4" x14ac:dyDescent="0.35">
      <c r="A845" s="5">
        <v>45722</v>
      </c>
      <c r="B845" s="3">
        <v>-7.2802837121645925E-2</v>
      </c>
      <c r="C845" s="3">
        <v>4.2846821775952337E-2</v>
      </c>
      <c r="D845" s="3">
        <v>-0.48187834856602585</v>
      </c>
    </row>
    <row r="846" spans="1:4" x14ac:dyDescent="0.35">
      <c r="A846" s="5">
        <v>45723</v>
      </c>
      <c r="B846" s="3">
        <v>-9.7518959575040198E-2</v>
      </c>
      <c r="C846" s="3">
        <v>3.5060139411048574E-2</v>
      </c>
      <c r="D846" s="3">
        <v>-0.49248870679693246</v>
      </c>
    </row>
    <row r="847" spans="1:4" x14ac:dyDescent="0.35">
      <c r="A847" s="5">
        <v>45726</v>
      </c>
      <c r="B847" s="3">
        <v>-0.10914629007866905</v>
      </c>
      <c r="C847" s="3">
        <v>2.7828692987972303E-2</v>
      </c>
      <c r="D847" s="3">
        <v>-0.50677592184052944</v>
      </c>
    </row>
    <row r="848" spans="1:4" x14ac:dyDescent="0.35">
      <c r="A848" s="5">
        <v>45727</v>
      </c>
      <c r="B848" s="3">
        <v>-0.11502387191612284</v>
      </c>
      <c r="C848" s="3">
        <v>1.6917972251582203E-2</v>
      </c>
      <c r="D848" s="3">
        <v>-0.51171341527471381</v>
      </c>
    </row>
    <row r="849" spans="1:4" x14ac:dyDescent="0.35">
      <c r="A849" s="5">
        <v>45728</v>
      </c>
      <c r="B849" s="3">
        <v>-0.12314273281991606</v>
      </c>
      <c r="C849" s="3">
        <v>-6.7096584295519568E-3</v>
      </c>
      <c r="D849" s="3">
        <v>-0.51696606786427146</v>
      </c>
    </row>
    <row r="850" spans="1:4" x14ac:dyDescent="0.35">
      <c r="A850" s="5">
        <v>45729</v>
      </c>
      <c r="B850" s="3">
        <v>-0.10559205647593972</v>
      </c>
      <c r="C850" s="3">
        <v>1.0148107515085103E-2</v>
      </c>
      <c r="D850" s="3">
        <v>-0.49910704905977521</v>
      </c>
    </row>
    <row r="851" spans="1:4" x14ac:dyDescent="0.35">
      <c r="A851" s="5">
        <v>45730</v>
      </c>
      <c r="B851" s="3">
        <v>-7.6933613176949911E-2</v>
      </c>
      <c r="C851" s="3">
        <v>1.1566300523126127E-2</v>
      </c>
      <c r="D851" s="3">
        <v>-0.48891690303603319</v>
      </c>
    </row>
    <row r="852" spans="1:4" x14ac:dyDescent="0.35">
      <c r="A852" s="5">
        <v>45733</v>
      </c>
      <c r="B852" s="3">
        <v>-4.8631557443090223E-2</v>
      </c>
      <c r="C852" s="3">
        <v>2.20421979315788E-2</v>
      </c>
      <c r="D852" s="3">
        <v>-0.47956718142662047</v>
      </c>
    </row>
    <row r="853" spans="1:4" x14ac:dyDescent="0.35">
      <c r="A853" s="5">
        <v>45734</v>
      </c>
      <c r="B853" s="3">
        <v>-4.8635017567827288E-2</v>
      </c>
      <c r="C853" s="3">
        <v>2.20421979315788E-2</v>
      </c>
      <c r="D853" s="3">
        <v>-0.47956718142662047</v>
      </c>
    </row>
    <row r="854" spans="1:4" x14ac:dyDescent="0.35">
      <c r="A854" s="5">
        <v>45735</v>
      </c>
      <c r="B854" s="3">
        <v>-4.754750822542797E-2</v>
      </c>
      <c r="C854" s="3">
        <v>1.5252264426100171E-2</v>
      </c>
      <c r="D854" s="3">
        <v>-0.47736106733900618</v>
      </c>
    </row>
    <row r="855" spans="1:4" x14ac:dyDescent="0.35">
      <c r="A855" s="5">
        <v>45736</v>
      </c>
      <c r="B855" s="3">
        <v>-4.0982922149793488E-2</v>
      </c>
      <c r="C855" s="3">
        <v>6.2213183843304876E-3</v>
      </c>
      <c r="D855" s="3">
        <v>-0.4744195818888538</v>
      </c>
    </row>
    <row r="856" spans="1:4" x14ac:dyDescent="0.35">
      <c r="A856" s="5">
        <v>45737</v>
      </c>
      <c r="B856" s="3">
        <v>-4.6379953049387468E-2</v>
      </c>
      <c r="C856" s="3">
        <v>7.0842754505440197E-3</v>
      </c>
      <c r="D856" s="3">
        <v>-0.4768358020800505</v>
      </c>
    </row>
    <row r="857" spans="1:4" x14ac:dyDescent="0.35">
      <c r="A857" s="5">
        <v>45740</v>
      </c>
      <c r="B857" s="3">
        <v>-4.9792645931903912E-2</v>
      </c>
      <c r="C857" s="3">
        <v>5.9938723358710089E-3</v>
      </c>
      <c r="D857" s="3">
        <v>-0.48229856077319044</v>
      </c>
    </row>
    <row r="858" spans="1:4" x14ac:dyDescent="0.35">
      <c r="A858" s="5">
        <v>45741</v>
      </c>
      <c r="B858" s="3">
        <v>-4.1880194805586024E-2</v>
      </c>
      <c r="C858" s="3">
        <v>1.253629102390863E-2</v>
      </c>
      <c r="D858" s="3">
        <v>-0.47063767202437234</v>
      </c>
    </row>
    <row r="859" spans="1:4" x14ac:dyDescent="0.35">
      <c r="A859" s="5">
        <v>45742</v>
      </c>
      <c r="B859" s="3">
        <v>-4.9565694027408846E-2</v>
      </c>
      <c r="C859" s="3">
        <v>1.5513158422862272E-2</v>
      </c>
      <c r="D859" s="3">
        <v>-0.46906187624750495</v>
      </c>
    </row>
    <row r="860" spans="1:4" x14ac:dyDescent="0.35">
      <c r="A860" s="5">
        <v>45743</v>
      </c>
      <c r="B860" s="3">
        <v>-5.2223346765369105E-2</v>
      </c>
      <c r="C860" s="3">
        <v>2.7340352942750501E-2</v>
      </c>
      <c r="D860" s="3">
        <v>-0.46485975417585879</v>
      </c>
    </row>
    <row r="861" spans="1:4" x14ac:dyDescent="0.35">
      <c r="A861" s="5">
        <v>45744</v>
      </c>
      <c r="B861" s="3">
        <v>-6.6319553122611175E-2</v>
      </c>
      <c r="C861" s="3">
        <v>1.2569738972211475E-2</v>
      </c>
      <c r="D861" s="3">
        <v>-0.47189830864586613</v>
      </c>
    </row>
    <row r="862" spans="1:4" x14ac:dyDescent="0.35">
      <c r="A862" s="5">
        <v>45747</v>
      </c>
      <c r="B862" s="3">
        <v>-6.6329787294368558E-2</v>
      </c>
      <c r="C862" s="3">
        <v>1.2569738972211475E-2</v>
      </c>
      <c r="D862" s="3">
        <v>-0.47189830864586613</v>
      </c>
    </row>
    <row r="863" spans="1:4" x14ac:dyDescent="0.35">
      <c r="A863" s="5">
        <v>45748</v>
      </c>
      <c r="B863" s="3">
        <v>-6.6333198684954353E-2</v>
      </c>
      <c r="C863" s="3">
        <v>1.2569738972211475E-2</v>
      </c>
      <c r="D863" s="3">
        <v>-0.47189830864586613</v>
      </c>
    </row>
    <row r="864" spans="1:4" x14ac:dyDescent="0.35">
      <c r="A864" s="5">
        <v>45749</v>
      </c>
      <c r="B864" s="3">
        <v>-5.8855751760194863E-2</v>
      </c>
      <c r="C864" s="3">
        <v>2.1179240865365268E-2</v>
      </c>
      <c r="D864" s="3">
        <v>-0.48187834856602585</v>
      </c>
    </row>
    <row r="865" spans="1:4" x14ac:dyDescent="0.35">
      <c r="A865" s="5">
        <v>45750</v>
      </c>
      <c r="B865" s="3">
        <v>-6.4130024380360973E-2</v>
      </c>
      <c r="C865" s="3">
        <v>1.6088463133671516E-2</v>
      </c>
      <c r="D865" s="3">
        <v>-0.49028259270931818</v>
      </c>
    </row>
    <row r="866" spans="1:4" x14ac:dyDescent="0.35">
      <c r="A866" s="5">
        <v>45751</v>
      </c>
      <c r="B866" s="3">
        <v>-8.281690948350795E-2</v>
      </c>
      <c r="C866" s="3">
        <v>6.207939205009394E-3</v>
      </c>
      <c r="D866" s="3">
        <v>-0.50971740729068182</v>
      </c>
    </row>
    <row r="867" spans="1:4" x14ac:dyDescent="0.35">
      <c r="A867" s="5">
        <v>45754</v>
      </c>
      <c r="B867" s="3">
        <v>-0.1828243526288621</v>
      </c>
      <c r="C867" s="3">
        <v>-3.4157044806871539E-2</v>
      </c>
      <c r="D867" s="3">
        <v>-0.57621598907448257</v>
      </c>
    </row>
    <row r="868" spans="1:4" x14ac:dyDescent="0.35">
      <c r="A868" s="5">
        <v>45755</v>
      </c>
      <c r="B868" s="3">
        <v>-0.16715861045242808</v>
      </c>
      <c r="C868" s="3">
        <v>-3.4317594958725217E-2</v>
      </c>
      <c r="D868" s="3">
        <v>-0.5734846097279126</v>
      </c>
    </row>
    <row r="869" spans="1:4" x14ac:dyDescent="0.35">
      <c r="A869" s="5">
        <v>45756</v>
      </c>
      <c r="B869" s="3">
        <v>-0.17872661807820067</v>
      </c>
      <c r="C869" s="3">
        <v>-6.3062761730195427E-2</v>
      </c>
      <c r="D869" s="3">
        <v>-0.58903246139300347</v>
      </c>
    </row>
    <row r="870" spans="1:4" x14ac:dyDescent="0.35">
      <c r="A870" s="5">
        <v>45757</v>
      </c>
      <c r="B870" s="3">
        <v>-0.13102149354009496</v>
      </c>
      <c r="C870" s="3">
        <v>-2.1226067992989206E-2</v>
      </c>
      <c r="D870" s="3">
        <v>-0.54165353503519276</v>
      </c>
    </row>
    <row r="871" spans="1:4" x14ac:dyDescent="0.35">
      <c r="A871" s="5">
        <v>45758</v>
      </c>
      <c r="B871" s="3">
        <v>-0.11789046780886403</v>
      </c>
      <c r="C871" s="3">
        <v>-2.6825254538886512E-2</v>
      </c>
      <c r="D871" s="3">
        <v>-0.54196869419056615</v>
      </c>
    </row>
    <row r="872" spans="1:4" x14ac:dyDescent="0.35">
      <c r="A872" s="5">
        <v>45761</v>
      </c>
      <c r="B872" s="3">
        <v>-9.8806093213376855E-2</v>
      </c>
      <c r="C872" s="3">
        <v>-9.3654255247983542E-3</v>
      </c>
      <c r="D872" s="3">
        <v>-0.52263893266099382</v>
      </c>
    </row>
    <row r="873" spans="1:4" x14ac:dyDescent="0.35">
      <c r="A873" s="5">
        <v>45762</v>
      </c>
      <c r="B873" s="3">
        <v>-9.3629022173773002E-2</v>
      </c>
      <c r="C873" s="3">
        <v>-5.6393240838605863E-3</v>
      </c>
      <c r="D873" s="3">
        <v>-0.52957243407920995</v>
      </c>
    </row>
    <row r="874" spans="1:4" x14ac:dyDescent="0.35">
      <c r="A874" s="5">
        <v>45763</v>
      </c>
      <c r="B874" s="3">
        <v>-0.10364994370741853</v>
      </c>
      <c r="C874" s="3">
        <v>-1.2001123851062889E-2</v>
      </c>
      <c r="D874" s="3">
        <v>-0.53913226179220508</v>
      </c>
    </row>
    <row r="875" spans="1:4" x14ac:dyDescent="0.35">
      <c r="A875" s="5">
        <v>45764</v>
      </c>
      <c r="B875" s="3">
        <v>-0.10236334272393999</v>
      </c>
      <c r="C875" s="3">
        <v>-7.7532344166008071E-3</v>
      </c>
      <c r="D875" s="3">
        <v>-0.53387960920264743</v>
      </c>
    </row>
    <row r="876" spans="1:4" x14ac:dyDescent="0.35">
      <c r="A876" s="5">
        <v>45765</v>
      </c>
      <c r="B876" s="3">
        <v>-9.5553755398391615E-2</v>
      </c>
      <c r="C876" s="3">
        <v>3.0370737058991182E-3</v>
      </c>
      <c r="D876" s="3">
        <v>-0.52747137304338687</v>
      </c>
    </row>
    <row r="877" spans="1:4" x14ac:dyDescent="0.35">
      <c r="A877" s="5">
        <v>45768</v>
      </c>
      <c r="B877" s="3">
        <v>-9.4435229828064737E-2</v>
      </c>
      <c r="C877" s="3">
        <v>3.0839008335230567E-3</v>
      </c>
      <c r="D877" s="3">
        <v>-0.53188360121861544</v>
      </c>
    </row>
    <row r="878" spans="1:4" x14ac:dyDescent="0.35">
      <c r="A878" s="5">
        <v>45769</v>
      </c>
      <c r="B878" s="3">
        <v>-0.10446431046391635</v>
      </c>
      <c r="C878" s="3">
        <v>-5.7597366977508724E-3</v>
      </c>
      <c r="D878" s="3">
        <v>-0.53755646601533769</v>
      </c>
    </row>
    <row r="879" spans="1:4" x14ac:dyDescent="0.35">
      <c r="A879" s="5">
        <v>45770</v>
      </c>
      <c r="B879" s="3">
        <v>-9.4548055388306906E-2</v>
      </c>
      <c r="C879" s="3">
        <v>4.2345102551410996E-3</v>
      </c>
      <c r="D879" s="3">
        <v>-0.52095808383233533</v>
      </c>
    </row>
    <row r="880" spans="1:4" x14ac:dyDescent="0.35">
      <c r="A880" s="5">
        <v>45771</v>
      </c>
      <c r="B880" s="3">
        <v>-9.103382993497211E-2</v>
      </c>
      <c r="C880" s="3">
        <v>7.8000615442248566E-3</v>
      </c>
      <c r="D880" s="3">
        <v>-0.52022271246979723</v>
      </c>
    </row>
    <row r="881" spans="1:4" x14ac:dyDescent="0.35">
      <c r="A881" s="5">
        <v>45772</v>
      </c>
      <c r="B881" s="3">
        <v>-6.3408345808316446E-2</v>
      </c>
      <c r="C881" s="3">
        <v>9.5928715732578329E-3</v>
      </c>
      <c r="D881" s="3">
        <v>-0.49858178380081941</v>
      </c>
    </row>
    <row r="882" spans="1:4" x14ac:dyDescent="0.35">
      <c r="A882" s="5">
        <v>45775</v>
      </c>
      <c r="B882" s="3">
        <v>-6.0456670743066265E-2</v>
      </c>
      <c r="C882" s="3">
        <v>1.788127316270427E-2</v>
      </c>
      <c r="D882" s="3">
        <v>-0.49511503309171123</v>
      </c>
    </row>
    <row r="883" spans="1:4" x14ac:dyDescent="0.35">
      <c r="A883" s="5">
        <v>45776</v>
      </c>
      <c r="B883" s="3">
        <v>-6.1072619065120848E-2</v>
      </c>
      <c r="C883" s="3">
        <v>1.3847450597380462E-2</v>
      </c>
      <c r="D883" s="3">
        <v>-0.49627061666141392</v>
      </c>
    </row>
    <row r="884" spans="1:4" x14ac:dyDescent="0.35">
      <c r="A884" s="5">
        <v>45777</v>
      </c>
      <c r="B884" s="3">
        <v>-5.6091665772074362E-2</v>
      </c>
      <c r="C884" s="3">
        <v>3.0343978700346552E-2</v>
      </c>
      <c r="D884" s="3">
        <v>-0.49690093497216092</v>
      </c>
    </row>
    <row r="885" spans="1:4" x14ac:dyDescent="0.35">
      <c r="A885" s="5">
        <v>45778</v>
      </c>
      <c r="B885" s="3">
        <v>-5.6095035624748713E-2</v>
      </c>
      <c r="C885" s="3">
        <v>3.0343978700346552E-2</v>
      </c>
      <c r="D885" s="3">
        <v>-0.49690093497216092</v>
      </c>
    </row>
    <row r="886" spans="1:4" x14ac:dyDescent="0.35">
      <c r="A886" s="5">
        <v>45779</v>
      </c>
      <c r="B886" s="3">
        <v>-4.6695444858153579E-2</v>
      </c>
      <c r="C886" s="3">
        <v>3.1862515553296111E-2</v>
      </c>
      <c r="D886" s="3">
        <v>-0.48051265889274075</v>
      </c>
    </row>
    <row r="887" spans="1:4" x14ac:dyDescent="0.35">
      <c r="A887" s="5">
        <v>45782</v>
      </c>
      <c r="B887" s="3">
        <v>-5.3249416199040223E-2</v>
      </c>
      <c r="C887" s="3">
        <v>2.9889086603427817E-2</v>
      </c>
      <c r="D887" s="3">
        <v>-0.48944216829498899</v>
      </c>
    </row>
    <row r="888" spans="1:4" x14ac:dyDescent="0.35">
      <c r="A888" s="5">
        <v>45783</v>
      </c>
      <c r="B888" s="3">
        <v>-5.4747889706049158E-2</v>
      </c>
      <c r="C888" s="3">
        <v>2.805613903643156E-2</v>
      </c>
      <c r="D888" s="3">
        <v>-0.49332913121126176</v>
      </c>
    </row>
    <row r="889" spans="1:4" x14ac:dyDescent="0.35">
      <c r="A889" s="5">
        <v>45784</v>
      </c>
      <c r="B889" s="3">
        <v>-4.7560118054724931E-2</v>
      </c>
      <c r="C889" s="3">
        <v>3.6819501491778706E-2</v>
      </c>
      <c r="D889" s="3">
        <v>-0.4877613194663305</v>
      </c>
    </row>
    <row r="890" spans="1:4" x14ac:dyDescent="0.35">
      <c r="A890" s="5">
        <v>45785</v>
      </c>
      <c r="B890" s="3">
        <v>-4.0325364349829695E-2</v>
      </c>
      <c r="C890" s="3">
        <v>3.2029755294810336E-2</v>
      </c>
      <c r="D890" s="3">
        <v>-0.476520642924677</v>
      </c>
    </row>
    <row r="891" spans="1:4" x14ac:dyDescent="0.35">
      <c r="A891" s="5">
        <v>45786</v>
      </c>
      <c r="B891" s="3">
        <v>-4.077861132382965E-2</v>
      </c>
      <c r="C891" s="3">
        <v>3.4545041007184585E-2</v>
      </c>
      <c r="D891" s="3">
        <v>-0.47694085513184159</v>
      </c>
    </row>
    <row r="892" spans="1:4" x14ac:dyDescent="0.35">
      <c r="A892" s="5">
        <v>45789</v>
      </c>
      <c r="B892" s="3">
        <v>-4.0788855079525566E-2</v>
      </c>
      <c r="C892" s="3">
        <v>3.4545041007184585E-2</v>
      </c>
      <c r="D892" s="3">
        <v>-0.47694085513184159</v>
      </c>
    </row>
    <row r="893" spans="1:4" x14ac:dyDescent="0.35">
      <c r="A893" s="5">
        <v>45790</v>
      </c>
      <c r="B893" s="3">
        <v>-1.4187904965175635E-2</v>
      </c>
      <c r="C893" s="3">
        <v>5.8553978298971243E-2</v>
      </c>
      <c r="D893" s="3">
        <v>-0.44552999264628634</v>
      </c>
    </row>
    <row r="894" spans="1:4" x14ac:dyDescent="0.35">
      <c r="A894" s="5">
        <v>45791</v>
      </c>
      <c r="B894" s="3">
        <v>-4.8263590837671622E-3</v>
      </c>
      <c r="C894" s="3">
        <v>5.9303212340955147E-2</v>
      </c>
      <c r="D894" s="3">
        <v>-0.43250341422418315</v>
      </c>
    </row>
    <row r="895" spans="1:4" x14ac:dyDescent="0.35">
      <c r="A895" s="5">
        <v>45792</v>
      </c>
      <c r="B895" s="3">
        <v>-5.7409543931874474E-3</v>
      </c>
      <c r="C895" s="3">
        <v>5.2285832787016817E-2</v>
      </c>
      <c r="D895" s="3">
        <v>-0.43754596071015861</v>
      </c>
    </row>
    <row r="896" spans="1:4" x14ac:dyDescent="0.35">
      <c r="A896" s="5">
        <v>45793</v>
      </c>
      <c r="B896" s="3">
        <v>-1.014871742670953E-2</v>
      </c>
      <c r="C896" s="3">
        <v>5.1436254900124601E-2</v>
      </c>
      <c r="D896" s="3">
        <v>-0.44910179640718562</v>
      </c>
    </row>
    <row r="897" spans="1:4" x14ac:dyDescent="0.35">
      <c r="A897" s="5">
        <v>45796</v>
      </c>
      <c r="B897" s="3">
        <v>-3.5356467017853332E-2</v>
      </c>
      <c r="C897" s="3">
        <v>4.0993805439974551E-2</v>
      </c>
      <c r="D897" s="3">
        <v>-0.47242357390482193</v>
      </c>
    </row>
    <row r="898" spans="1:4" x14ac:dyDescent="0.35">
      <c r="A898" s="5">
        <v>45797</v>
      </c>
      <c r="B898" s="3">
        <v>-3.3165196816865472E-2</v>
      </c>
      <c r="C898" s="3">
        <v>3.6130473756739834E-2</v>
      </c>
      <c r="D898" s="3">
        <v>-0.47210841474944842</v>
      </c>
    </row>
    <row r="899" spans="1:4" x14ac:dyDescent="0.35">
      <c r="A899" s="5">
        <v>45798</v>
      </c>
      <c r="B899" s="3">
        <v>-3.4580857938972476E-2</v>
      </c>
      <c r="C899" s="3">
        <v>3.3407810764887635E-2</v>
      </c>
      <c r="D899" s="3">
        <v>-0.4875512133627482</v>
      </c>
    </row>
    <row r="900" spans="1:4" x14ac:dyDescent="0.35">
      <c r="A900" s="5">
        <v>45799</v>
      </c>
      <c r="B900" s="3">
        <v>-3.5405088266176832E-2</v>
      </c>
      <c r="C900" s="3">
        <v>2.1513720348393939E-2</v>
      </c>
      <c r="D900" s="3">
        <v>-0.487446160310957</v>
      </c>
    </row>
    <row r="901" spans="1:4" x14ac:dyDescent="0.35">
      <c r="A901" s="5">
        <v>45800</v>
      </c>
      <c r="B901" s="3">
        <v>-4.1971332282464191E-2</v>
      </c>
      <c r="C901" s="3">
        <v>2.7106217304630587E-2</v>
      </c>
      <c r="D901" s="3">
        <v>-0.48587036453408972</v>
      </c>
    </row>
    <row r="902" spans="1:4" x14ac:dyDescent="0.35">
      <c r="A902" s="5">
        <v>45803</v>
      </c>
      <c r="B902" s="3">
        <v>-4.8082718275724634E-2</v>
      </c>
      <c r="C902" s="3">
        <v>2.6383741621289092E-2</v>
      </c>
      <c r="D902" s="3">
        <v>-0.49238365374514126</v>
      </c>
    </row>
    <row r="903" spans="1:4" x14ac:dyDescent="0.35">
      <c r="A903" s="5">
        <v>45804</v>
      </c>
      <c r="B903" s="3">
        <v>-5.6738468286284816E-2</v>
      </c>
      <c r="C903" s="3">
        <v>2.0938415637584917E-2</v>
      </c>
      <c r="D903" s="3">
        <v>-0.49217354764155896</v>
      </c>
    </row>
    <row r="904" spans="1:4" x14ac:dyDescent="0.35">
      <c r="A904" s="5">
        <v>45805</v>
      </c>
      <c r="B904" s="3">
        <v>-5.4983326923432108E-2</v>
      </c>
      <c r="C904" s="3">
        <v>1.9145605608551941E-2</v>
      </c>
      <c r="D904" s="3">
        <v>-0.4879714255699128</v>
      </c>
    </row>
    <row r="905" spans="1:4" x14ac:dyDescent="0.35">
      <c r="A905" s="5">
        <v>45806</v>
      </c>
      <c r="B905" s="3">
        <v>-4.9112382268435506E-2</v>
      </c>
      <c r="C905" s="3">
        <v>1.6135290261295454E-2</v>
      </c>
      <c r="D905" s="3">
        <v>-0.4744195818888538</v>
      </c>
    </row>
    <row r="906" spans="1:4" x14ac:dyDescent="0.35">
      <c r="A906" s="5">
        <v>45807</v>
      </c>
      <c r="B906" s="3">
        <v>-4.8800073641861341E-2</v>
      </c>
      <c r="C906" s="3">
        <v>9.0242564521092472E-3</v>
      </c>
      <c r="D906" s="3">
        <v>-0.48082781804811425</v>
      </c>
    </row>
    <row r="907" spans="1:4" x14ac:dyDescent="0.35">
      <c r="A907" s="5">
        <v>45810</v>
      </c>
      <c r="B907" s="3">
        <v>-4.8810272664999599E-2</v>
      </c>
      <c r="C907" s="3">
        <v>9.0242564521092472E-3</v>
      </c>
      <c r="D907" s="3">
        <v>-0.48082781804811425</v>
      </c>
    </row>
    <row r="908" spans="1:4" x14ac:dyDescent="0.35">
      <c r="A908" s="5">
        <v>45811</v>
      </c>
      <c r="B908" s="3">
        <v>-5.6870852083766632E-2</v>
      </c>
      <c r="C908" s="3">
        <v>5.6125657252183991E-3</v>
      </c>
      <c r="D908" s="3">
        <v>-0.4882865847252863</v>
      </c>
    </row>
    <row r="909" spans="1:4" x14ac:dyDescent="0.35">
      <c r="A909" s="5">
        <v>45812</v>
      </c>
      <c r="B909" s="3">
        <v>-4.5121553586056518E-2</v>
      </c>
      <c r="C909" s="3">
        <v>8.7700520450075814E-3</v>
      </c>
      <c r="D909" s="3">
        <v>-0.48576531148229851</v>
      </c>
    </row>
    <row r="910" spans="1:4" x14ac:dyDescent="0.35">
      <c r="A910" s="5">
        <v>45813</v>
      </c>
      <c r="B910" s="3">
        <v>-1.796239488232676E-2</v>
      </c>
      <c r="C910" s="3">
        <v>1.5559985550486433E-2</v>
      </c>
      <c r="D910" s="3">
        <v>-0.47431452883706271</v>
      </c>
    </row>
    <row r="911" spans="1:4" x14ac:dyDescent="0.35">
      <c r="A911" s="5">
        <v>45814</v>
      </c>
      <c r="B911" s="3">
        <v>-1.8515152338377194E-2</v>
      </c>
      <c r="C911" s="3">
        <v>1.4670270125630491E-2</v>
      </c>
      <c r="D911" s="3">
        <v>-0.47673074902825918</v>
      </c>
    </row>
    <row r="912" spans="1:4" x14ac:dyDescent="0.35">
      <c r="A912" s="5">
        <v>45817</v>
      </c>
      <c r="B912" s="3">
        <v>-1.3236169722137925E-2</v>
      </c>
      <c r="C912" s="3">
        <v>1.6422942616699965E-2</v>
      </c>
      <c r="D912" s="3">
        <v>-0.46822145183317576</v>
      </c>
    </row>
    <row r="913" spans="1:4" x14ac:dyDescent="0.35">
      <c r="A913" s="5">
        <v>45818</v>
      </c>
      <c r="B913" s="3">
        <v>-1.1117661693222258E-2</v>
      </c>
      <c r="C913" s="3">
        <v>1.4777303560199684E-2</v>
      </c>
      <c r="D913" s="3">
        <v>-0.46717092131526416</v>
      </c>
    </row>
    <row r="914" spans="1:4" x14ac:dyDescent="0.35">
      <c r="A914" s="5">
        <v>45819</v>
      </c>
      <c r="B914" s="3">
        <v>6.4738513630053784E-3</v>
      </c>
      <c r="C914" s="3">
        <v>1.9386430836332513E-2</v>
      </c>
      <c r="D914" s="3">
        <v>-0.4634940645025738</v>
      </c>
    </row>
    <row r="915" spans="1:4" x14ac:dyDescent="0.35">
      <c r="A915" s="5">
        <v>45820</v>
      </c>
      <c r="B915" s="3">
        <v>6.6373850348486751E-3</v>
      </c>
      <c r="C915" s="3">
        <v>2.1246136761970957E-2</v>
      </c>
      <c r="D915" s="3">
        <v>-0.4621283748292887</v>
      </c>
    </row>
    <row r="916" spans="1:4" x14ac:dyDescent="0.35">
      <c r="A916" s="5">
        <v>45821</v>
      </c>
      <c r="B916" s="3">
        <v>-3.3018948394822889E-3</v>
      </c>
      <c r="C916" s="3">
        <v>1.5553295960825775E-2</v>
      </c>
      <c r="D916" s="3">
        <v>-0.47462968799243621</v>
      </c>
    </row>
    <row r="917" spans="1:4" x14ac:dyDescent="0.35">
      <c r="A917" s="5">
        <v>45824</v>
      </c>
      <c r="B917" s="3">
        <v>-1.0081988468882086E-2</v>
      </c>
      <c r="C917" s="3">
        <v>1.681093881701301E-2</v>
      </c>
      <c r="D917" s="3">
        <v>-0.48093287109990546</v>
      </c>
    </row>
    <row r="918" spans="1:4" x14ac:dyDescent="0.35">
      <c r="A918" s="5">
        <v>45825</v>
      </c>
      <c r="B918" s="3">
        <v>-6.9974383621487224E-3</v>
      </c>
      <c r="C918" s="3">
        <v>1.122513145043702E-2</v>
      </c>
      <c r="D918" s="3">
        <v>-0.48124803025527885</v>
      </c>
    </row>
    <row r="919" spans="1:4" x14ac:dyDescent="0.35">
      <c r="A919" s="5">
        <v>45826</v>
      </c>
      <c r="B919" s="3">
        <v>-6.6929371026976936E-3</v>
      </c>
      <c r="C919" s="3">
        <v>1.1432508729914526E-2</v>
      </c>
      <c r="D919" s="3">
        <v>-0.48103792415169666</v>
      </c>
    </row>
    <row r="920" spans="1:4" x14ac:dyDescent="0.35">
      <c r="A920" s="5">
        <v>45827</v>
      </c>
      <c r="B920" s="3">
        <v>-1.0731498868468581E-2</v>
      </c>
      <c r="C920" s="3">
        <v>4.4017499966553242E-3</v>
      </c>
      <c r="D920" s="3">
        <v>-0.48513499317155162</v>
      </c>
    </row>
    <row r="921" spans="1:4" x14ac:dyDescent="0.35">
      <c r="A921" s="5">
        <v>45828</v>
      </c>
      <c r="B921" s="3">
        <v>-1.3457322566449159E-2</v>
      </c>
      <c r="C921" s="3">
        <v>5.2713966525295142E-3</v>
      </c>
      <c r="D921" s="3">
        <v>-0.48713100115558361</v>
      </c>
    </row>
    <row r="922" spans="1:4" x14ac:dyDescent="0.35">
      <c r="A922" s="5">
        <v>45831</v>
      </c>
      <c r="B922" s="3">
        <v>-1.6113816421504445E-2</v>
      </c>
      <c r="C922" s="3">
        <v>1.4549857511740205E-2</v>
      </c>
      <c r="D922" s="3">
        <v>-0.48933711524319778</v>
      </c>
    </row>
    <row r="923" spans="1:4" x14ac:dyDescent="0.35">
      <c r="A923" s="5">
        <v>45832</v>
      </c>
      <c r="B923" s="3">
        <v>-2.1592802053517213E-3</v>
      </c>
      <c r="C923" s="3">
        <v>1.2997872710488023E-2</v>
      </c>
      <c r="D923" s="3">
        <v>-0.48145813635886126</v>
      </c>
    </row>
    <row r="924" spans="1:4" x14ac:dyDescent="0.35">
      <c r="A924" s="5">
        <v>45833</v>
      </c>
      <c r="B924" s="3">
        <v>1.2768818943710514E-2</v>
      </c>
      <c r="C924" s="3">
        <v>1.6677147023801631E-2</v>
      </c>
      <c r="D924" s="3">
        <v>-0.47210841474944842</v>
      </c>
    </row>
    <row r="925" spans="1:4" x14ac:dyDescent="0.35">
      <c r="A925" s="5">
        <v>45834</v>
      </c>
      <c r="B925" s="3">
        <v>2.9027324134114574E-2</v>
      </c>
      <c r="C925" s="3">
        <v>2.2276333569698936E-2</v>
      </c>
      <c r="D925" s="3">
        <v>-0.46391427670973839</v>
      </c>
    </row>
    <row r="926" spans="1:4" x14ac:dyDescent="0.35">
      <c r="A926" s="5">
        <v>45835</v>
      </c>
      <c r="B926" s="3">
        <v>2.9023715707799491E-2</v>
      </c>
      <c r="C926" s="3">
        <v>2.2276333569698936E-2</v>
      </c>
      <c r="D926" s="3">
        <v>-0.46391427670973839</v>
      </c>
    </row>
    <row r="927" spans="1:4" x14ac:dyDescent="0.35">
      <c r="A927" s="5">
        <v>45838</v>
      </c>
      <c r="B927" s="3">
        <v>3.9682563936482618E-2</v>
      </c>
      <c r="C927" s="3">
        <v>2.5487336606772715E-2</v>
      </c>
      <c r="D927" s="3">
        <v>-0.4631789053472003</v>
      </c>
    </row>
    <row r="928" spans="1:4" x14ac:dyDescent="0.35">
      <c r="A928" s="5">
        <v>45839</v>
      </c>
      <c r="B928" s="3">
        <v>5.704980839156315E-2</v>
      </c>
      <c r="C928" s="3">
        <v>3.1220314945881178E-2</v>
      </c>
      <c r="D928" s="3">
        <v>-0.45656056308435766</v>
      </c>
    </row>
    <row r="929" spans="1:4" x14ac:dyDescent="0.35">
      <c r="A929" s="5">
        <v>45840</v>
      </c>
      <c r="B929" s="3">
        <v>5.8481279878301873E-2</v>
      </c>
      <c r="C929" s="3">
        <v>3.7026878771256211E-2</v>
      </c>
      <c r="D929" s="3">
        <v>-0.45340897153062298</v>
      </c>
    </row>
    <row r="930" spans="1:4" x14ac:dyDescent="0.35">
      <c r="A930" s="5">
        <v>45841</v>
      </c>
      <c r="B930" s="3">
        <v>6.2976562339745579E-2</v>
      </c>
      <c r="C930" s="3">
        <v>3.6210748832666617E-2</v>
      </c>
      <c r="D930" s="3">
        <v>-0.45162306965017329</v>
      </c>
    </row>
    <row r="931" spans="1:4" x14ac:dyDescent="0.35">
      <c r="A931" s="5">
        <v>45842</v>
      </c>
      <c r="B931" s="3">
        <v>6.9771370472598182E-2</v>
      </c>
      <c r="C931" s="3">
        <v>3.7013499591935117E-2</v>
      </c>
      <c r="D931" s="3">
        <v>-0.43765101376194981</v>
      </c>
    </row>
    <row r="932" spans="1:4" x14ac:dyDescent="0.35">
      <c r="A932" s="5">
        <v>45845</v>
      </c>
      <c r="B932" s="3">
        <v>3.6146950043135284E-2</v>
      </c>
      <c r="C932" s="3">
        <v>2.8551168671313798E-2</v>
      </c>
      <c r="D932" s="3">
        <v>-0.44973211471793251</v>
      </c>
    </row>
    <row r="933" spans="1:4" x14ac:dyDescent="0.35">
      <c r="A933" s="5">
        <v>45846</v>
      </c>
      <c r="B933" s="3">
        <v>5.7895123663287418E-2</v>
      </c>
      <c r="C933" s="3">
        <v>2.3600872322491862E-2</v>
      </c>
      <c r="D933" s="3">
        <v>-0.45876667717197184</v>
      </c>
    </row>
    <row r="934" spans="1:4" x14ac:dyDescent="0.35">
      <c r="A934" s="5">
        <v>45847</v>
      </c>
      <c r="B934" s="3">
        <v>4.8920562722451821E-2</v>
      </c>
      <c r="C934" s="3">
        <v>2.2998809253040431E-2</v>
      </c>
      <c r="D934" s="3">
        <v>-0.45603529782540175</v>
      </c>
    </row>
    <row r="935" spans="1:4" x14ac:dyDescent="0.35">
      <c r="A935" s="5">
        <v>45848</v>
      </c>
      <c r="B935" s="3">
        <v>6.6950495693165024E-2</v>
      </c>
      <c r="C935" s="3">
        <v>2.7868830525935584E-2</v>
      </c>
      <c r="D935" s="3">
        <v>-0.45761109360226915</v>
      </c>
    </row>
    <row r="936" spans="1:4" x14ac:dyDescent="0.35">
      <c r="A936" s="5">
        <v>45849</v>
      </c>
      <c r="B936" s="3">
        <v>6.3231990572916619E-2</v>
      </c>
      <c r="C936" s="3">
        <v>2.756779899120998E-2</v>
      </c>
      <c r="D936" s="3">
        <v>-0.44752600063031822</v>
      </c>
    </row>
    <row r="937" spans="1:4" x14ac:dyDescent="0.35">
      <c r="A937" s="5">
        <v>45852</v>
      </c>
      <c r="B937" s="3">
        <v>6.4462580945824355E-2</v>
      </c>
      <c r="C937" s="3">
        <v>2.8531099902332047E-2</v>
      </c>
      <c r="D937" s="3">
        <v>-0.44815631894106522</v>
      </c>
    </row>
    <row r="938" spans="1:4" x14ac:dyDescent="0.35">
      <c r="A938" s="5">
        <v>45853</v>
      </c>
      <c r="B938" s="3">
        <v>5.7325992764080791E-2</v>
      </c>
      <c r="C938" s="3">
        <v>2.0430006823381586E-2</v>
      </c>
      <c r="D938" s="3">
        <v>-0.4509927513394264</v>
      </c>
    </row>
    <row r="939" spans="1:4" x14ac:dyDescent="0.35">
      <c r="A939" s="5">
        <v>45854</v>
      </c>
      <c r="B939" s="3">
        <v>5.5791457285646384E-2</v>
      </c>
      <c r="C939" s="3">
        <v>1.1131477195188921E-2</v>
      </c>
      <c r="D939" s="3">
        <v>-0.45424939594495217</v>
      </c>
    </row>
    <row r="940" spans="1:4" x14ac:dyDescent="0.35">
      <c r="A940" s="5">
        <v>45855</v>
      </c>
      <c r="B940" s="3">
        <v>4.9650925907788412E-2</v>
      </c>
      <c r="C940" s="3">
        <v>1.7446449834767286E-2</v>
      </c>
      <c r="D940" s="3">
        <v>-0.45498476730749027</v>
      </c>
    </row>
    <row r="941" spans="1:4" x14ac:dyDescent="0.35">
      <c r="A941" s="5">
        <v>45856</v>
      </c>
      <c r="B941" s="3">
        <v>5.3846139002838411E-2</v>
      </c>
      <c r="C941" s="3">
        <v>2.0737727947767626E-2</v>
      </c>
      <c r="D941" s="3">
        <v>-0.451412963546591</v>
      </c>
    </row>
    <row r="942" spans="1:4" x14ac:dyDescent="0.35">
      <c r="A942" s="5">
        <v>45859</v>
      </c>
      <c r="B942" s="3">
        <v>5.4425559821740466E-2</v>
      </c>
      <c r="C942" s="3">
        <v>1.9888150060875187E-2</v>
      </c>
      <c r="D942" s="3">
        <v>-0.45393423678957878</v>
      </c>
    </row>
    <row r="943" spans="1:4" x14ac:dyDescent="0.35">
      <c r="A943" s="5">
        <v>45860</v>
      </c>
      <c r="B943" s="3">
        <v>4.5235852292017098E-2</v>
      </c>
      <c r="C943" s="3">
        <v>1.6416253027039529E-2</v>
      </c>
      <c r="D943" s="3">
        <v>-0.45834646496480724</v>
      </c>
    </row>
    <row r="944" spans="1:4" x14ac:dyDescent="0.35">
      <c r="A944" s="5">
        <v>45861</v>
      </c>
      <c r="B944" s="3">
        <v>5.5331304648508883E-2</v>
      </c>
      <c r="C944" s="3">
        <v>2.3366736684371725E-2</v>
      </c>
      <c r="D944" s="3">
        <v>-0.4501523269250971</v>
      </c>
    </row>
    <row r="945" spans="1:4" x14ac:dyDescent="0.35">
      <c r="A945" s="5">
        <v>45862</v>
      </c>
      <c r="B945" s="3">
        <v>5.1176425409582782E-2</v>
      </c>
      <c r="C945" s="3">
        <v>3.0410874596952242E-2</v>
      </c>
      <c r="D945" s="3">
        <v>-0.45036243302867951</v>
      </c>
    </row>
    <row r="946" spans="1:4" x14ac:dyDescent="0.35">
      <c r="A946" s="5">
        <v>45863</v>
      </c>
      <c r="B946" s="3">
        <v>4.0603214426815804E-2</v>
      </c>
      <c r="C946" s="3">
        <v>2.6022503779618233E-2</v>
      </c>
      <c r="D946" s="3">
        <v>-0.4507826452358441</v>
      </c>
    </row>
    <row r="947" spans="1:4" x14ac:dyDescent="0.35">
      <c r="A947" s="5">
        <v>45866</v>
      </c>
      <c r="B947" s="3">
        <v>2.7785845582321E-2</v>
      </c>
      <c r="C947" s="3">
        <v>2.309246350828853E-2</v>
      </c>
      <c r="D947" s="3">
        <v>-0.45561508561823716</v>
      </c>
    </row>
    <row r="948" spans="1:4" x14ac:dyDescent="0.35">
      <c r="A948" s="5">
        <v>45867</v>
      </c>
      <c r="B948" s="3">
        <v>3.1287763677611213E-2</v>
      </c>
      <c r="C948" s="3">
        <v>1.937305165701142E-2</v>
      </c>
      <c r="D948" s="3">
        <v>-0.45771614665406035</v>
      </c>
    </row>
    <row r="949" spans="1:4" x14ac:dyDescent="0.35">
      <c r="A949" s="5">
        <v>45868</v>
      </c>
      <c r="B949" s="3">
        <v>3.3383588378257389E-2</v>
      </c>
      <c r="C949" s="3">
        <v>1.9827943753930155E-2</v>
      </c>
      <c r="D949" s="3">
        <v>-0.45950204853450993</v>
      </c>
    </row>
    <row r="950" spans="1:4" x14ac:dyDescent="0.35">
      <c r="A950" s="5">
        <v>45869</v>
      </c>
      <c r="B950" s="3">
        <v>4.6900365672053912E-2</v>
      </c>
      <c r="C950" s="3">
        <v>1.2302155385788716E-2</v>
      </c>
      <c r="D950" s="3">
        <v>-0.44773610673390063</v>
      </c>
    </row>
    <row r="951" spans="1:4" x14ac:dyDescent="0.35">
      <c r="A951" s="5">
        <v>45870</v>
      </c>
      <c r="B951" s="3">
        <v>4.4084868673502253E-2</v>
      </c>
      <c r="C951" s="3">
        <v>2.5748230603534816E-2</v>
      </c>
      <c r="D951" s="3">
        <v>-0.44195818888538718</v>
      </c>
    </row>
    <row r="952" spans="1:4" x14ac:dyDescent="0.35">
      <c r="A952" s="5">
        <v>45873</v>
      </c>
      <c r="B952" s="3">
        <v>3.75518575627658E-2</v>
      </c>
      <c r="C952" s="3">
        <v>2.148696198975153E-2</v>
      </c>
      <c r="D952" s="3">
        <v>-0.44889169030360332</v>
      </c>
    </row>
    <row r="953" spans="1:4" x14ac:dyDescent="0.35">
      <c r="A953" s="5">
        <v>45874</v>
      </c>
      <c r="B953" s="3">
        <v>4.058986921379093E-2</v>
      </c>
      <c r="C953" s="3">
        <v>2.9287023533976608E-2</v>
      </c>
      <c r="D953" s="3">
        <v>-0.44468956823195716</v>
      </c>
    </row>
    <row r="954" spans="1:4" x14ac:dyDescent="0.35">
      <c r="A954" s="5">
        <v>45875</v>
      </c>
      <c r="B954" s="3">
        <v>3.2273117546097518E-2</v>
      </c>
      <c r="C954" s="3">
        <v>3.1186866997578555E-2</v>
      </c>
      <c r="D954" s="3">
        <v>-0.45193822880554679</v>
      </c>
    </row>
    <row r="955" spans="1:4" x14ac:dyDescent="0.35">
      <c r="A955" s="5">
        <v>45876</v>
      </c>
      <c r="B955" s="3">
        <v>2.0091786027603975E-2</v>
      </c>
      <c r="C955" s="3">
        <v>3.6291023908593401E-2</v>
      </c>
      <c r="D955" s="3">
        <v>-0.4508876982876352</v>
      </c>
    </row>
    <row r="956" spans="1:4" x14ac:dyDescent="0.35">
      <c r="A956" s="5">
        <v>45877</v>
      </c>
      <c r="B956" s="3">
        <v>3.0786729210518393E-2</v>
      </c>
      <c r="C956" s="3">
        <v>4.1555730971462257E-2</v>
      </c>
      <c r="D956" s="3">
        <v>-0.45319886542704069</v>
      </c>
    </row>
    <row r="957" spans="1:4" x14ac:dyDescent="0.35">
      <c r="A957" s="5">
        <v>45880</v>
      </c>
      <c r="B957" s="3">
        <v>2.8551532771168731E-2</v>
      </c>
      <c r="C957" s="3">
        <v>4.5743414098979196E-2</v>
      </c>
      <c r="D957" s="3">
        <v>-0.44973211471793251</v>
      </c>
    </row>
    <row r="958" spans="1:4" x14ac:dyDescent="0.35">
      <c r="A958" s="5">
        <v>45881</v>
      </c>
      <c r="B958" s="3">
        <v>3.2712510548784213E-2</v>
      </c>
      <c r="C958" s="3">
        <v>4.8860762880805098E-2</v>
      </c>
      <c r="D958" s="3">
        <v>-0.44321882550688096</v>
      </c>
    </row>
    <row r="959" spans="1:4" x14ac:dyDescent="0.35">
      <c r="A959" s="5">
        <v>45882</v>
      </c>
      <c r="B959" s="3">
        <v>3.6526885559077238E-2</v>
      </c>
      <c r="C959" s="3">
        <v>6.1370295546071318E-2</v>
      </c>
      <c r="D959" s="3">
        <v>-0.42788107994537239</v>
      </c>
    </row>
    <row r="960" spans="1:4" x14ac:dyDescent="0.35">
      <c r="A960" s="5">
        <v>45883</v>
      </c>
      <c r="B960" s="3">
        <v>3.4719034153560813E-2</v>
      </c>
      <c r="C960" s="3">
        <v>5.7657573284454866E-2</v>
      </c>
      <c r="D960" s="3">
        <v>-0.43281857337955665</v>
      </c>
    </row>
    <row r="961" spans="1:4" x14ac:dyDescent="0.35">
      <c r="A961" s="5">
        <v>45884</v>
      </c>
      <c r="B961" s="3">
        <v>3.0859568725182696E-2</v>
      </c>
      <c r="C961" s="3">
        <v>5.450677655432612E-2</v>
      </c>
      <c r="D961" s="3">
        <v>-0.43691564239941172</v>
      </c>
    </row>
    <row r="962" spans="1:4" x14ac:dyDescent="0.35">
      <c r="A962" s="5">
        <v>45887</v>
      </c>
      <c r="B962" s="3">
        <v>3.4103737823444114E-2</v>
      </c>
      <c r="C962" s="3">
        <v>6.0273202841737872E-2</v>
      </c>
      <c r="D962" s="3">
        <v>-0.43355394474209474</v>
      </c>
    </row>
    <row r="963" spans="1:4" x14ac:dyDescent="0.35">
      <c r="A963" s="5">
        <v>45888</v>
      </c>
      <c r="B963" s="3">
        <v>3.6256715821881613E-2</v>
      </c>
      <c r="C963" s="3">
        <v>6.3805306182518784E-2</v>
      </c>
      <c r="D963" s="3">
        <v>-0.43618027103687362</v>
      </c>
    </row>
    <row r="964" spans="1:4" x14ac:dyDescent="0.35">
      <c r="A964" s="5">
        <v>45889</v>
      </c>
      <c r="B964" s="3">
        <v>3.4519929539576832E-2</v>
      </c>
      <c r="C964" s="3">
        <v>6.2447319481423014E-2</v>
      </c>
      <c r="D964" s="3">
        <v>-0.43828133207269671</v>
      </c>
    </row>
    <row r="965" spans="1:4" x14ac:dyDescent="0.35">
      <c r="A965" s="5">
        <v>45890</v>
      </c>
      <c r="B965" s="3">
        <v>4.2504034997926876E-2</v>
      </c>
      <c r="C965" s="3">
        <v>6.5564668263248693E-2</v>
      </c>
      <c r="D965" s="3">
        <v>-0.44132787057464018</v>
      </c>
    </row>
    <row r="966" spans="1:4" x14ac:dyDescent="0.35">
      <c r="A966" s="5">
        <v>45891</v>
      </c>
      <c r="B966" s="3">
        <v>4.7593645760961589E-2</v>
      </c>
      <c r="C966" s="3">
        <v>6.8641879507111092E-2</v>
      </c>
      <c r="D966" s="3">
        <v>-0.42945687572223967</v>
      </c>
    </row>
    <row r="967" spans="1:4" x14ac:dyDescent="0.35">
      <c r="A967" s="5">
        <v>45894</v>
      </c>
      <c r="B967" s="3">
        <v>4.2873883784361189E-2</v>
      </c>
      <c r="C967" s="3">
        <v>7.1973295158075157E-2</v>
      </c>
      <c r="D967" s="3">
        <v>-0.41128269776237003</v>
      </c>
    </row>
    <row r="968" spans="1:4" x14ac:dyDescent="0.35">
      <c r="A968" s="5">
        <v>45895</v>
      </c>
      <c r="B968" s="3">
        <v>3.3682640436825784E-2</v>
      </c>
      <c r="C968" s="3">
        <v>5.8018811126125502E-2</v>
      </c>
      <c r="D968" s="3">
        <v>-0.4142241832125223</v>
      </c>
    </row>
    <row r="969" spans="1:4" x14ac:dyDescent="0.35">
      <c r="A969" s="5">
        <v>45896</v>
      </c>
      <c r="B969" s="3">
        <v>3.2285881235872838E-2</v>
      </c>
      <c r="C969" s="3">
        <v>6.2246631791605944E-2</v>
      </c>
      <c r="D969" s="3">
        <v>-0.40718562874251496</v>
      </c>
    </row>
    <row r="970" spans="1:4" x14ac:dyDescent="0.35">
      <c r="A970" s="5">
        <v>45897</v>
      </c>
      <c r="B970" s="3">
        <v>3.9076626432785533E-2</v>
      </c>
      <c r="C970" s="3">
        <v>6.1684706260118016E-2</v>
      </c>
      <c r="D970" s="3">
        <v>-0.4146443954196869</v>
      </c>
    </row>
    <row r="971" spans="1:4" x14ac:dyDescent="0.35">
      <c r="A971" s="5">
        <v>45898</v>
      </c>
      <c r="B971" s="3">
        <v>4.7317183643993177E-2</v>
      </c>
      <c r="C971" s="3">
        <v>5.3690646615736526E-2</v>
      </c>
      <c r="D971" s="3">
        <v>-0.41653535035192768</v>
      </c>
    </row>
    <row r="972" spans="1:4" x14ac:dyDescent="0.35">
      <c r="A972" s="5">
        <v>45901</v>
      </c>
      <c r="B972" s="3">
        <v>4.7306179434817741E-2</v>
      </c>
      <c r="C972" s="3">
        <v>5.3690646615736526E-2</v>
      </c>
      <c r="D972" s="3">
        <v>-0.41653535035192768</v>
      </c>
    </row>
    <row r="973" spans="1:4" x14ac:dyDescent="0.35">
      <c r="A973" s="5">
        <v>45902</v>
      </c>
      <c r="B973" s="3">
        <v>5.0830448898067093E-2</v>
      </c>
      <c r="C973" s="3">
        <v>5.4747601782106692E-2</v>
      </c>
      <c r="D973" s="3">
        <v>-0.42136779073432085</v>
      </c>
    </row>
    <row r="974" spans="1:4" x14ac:dyDescent="0.35">
      <c r="A974" s="5">
        <v>45903</v>
      </c>
      <c r="B974" s="3">
        <v>8.4880275327259946E-2</v>
      </c>
      <c r="C974" s="3">
        <v>5.5965107100330425E-2</v>
      </c>
      <c r="D974" s="3">
        <v>-0.41159785691774342</v>
      </c>
    </row>
    <row r="975" spans="1:4" x14ac:dyDescent="0.35">
      <c r="A975" s="5">
        <v>45904</v>
      </c>
      <c r="B975" s="3">
        <v>8.1928627334153514E-2</v>
      </c>
      <c r="C975" s="3">
        <v>5.5717592282889417E-2</v>
      </c>
      <c r="D975" s="3">
        <v>-0.41317365269461082</v>
      </c>
    </row>
    <row r="976" spans="1:4" x14ac:dyDescent="0.35">
      <c r="A976" s="5">
        <v>45905</v>
      </c>
      <c r="B976" s="3">
        <v>8.1924854888460574E-2</v>
      </c>
      <c r="C976" s="3">
        <v>5.5717592282889417E-2</v>
      </c>
      <c r="D976" s="3">
        <v>-0.41317365269461082</v>
      </c>
    </row>
    <row r="977" spans="1:4" x14ac:dyDescent="0.35">
      <c r="A977" s="5">
        <v>45908</v>
      </c>
      <c r="B977" s="3">
        <v>8.5627830919417391E-2</v>
      </c>
      <c r="C977" s="3">
        <v>6.069464699035354E-2</v>
      </c>
      <c r="D977" s="3">
        <v>-0.41285849353923731</v>
      </c>
    </row>
    <row r="978" spans="1:4" x14ac:dyDescent="0.35">
      <c r="A978" s="5">
        <v>45909</v>
      </c>
      <c r="B978" s="3">
        <v>7.2206557636147917E-2</v>
      </c>
      <c r="C978" s="3">
        <v>6.1510776928943134E-2</v>
      </c>
      <c r="D978" s="3">
        <v>-0.41579997898938958</v>
      </c>
    </row>
    <row r="979" spans="1:4" x14ac:dyDescent="0.35">
      <c r="A979" s="5">
        <v>45910</v>
      </c>
      <c r="B979" s="3">
        <v>8.1893079861695028E-2</v>
      </c>
      <c r="C979" s="3">
        <v>6.4146475255207891E-2</v>
      </c>
      <c r="D979" s="3">
        <v>-0.41579997898938958</v>
      </c>
    </row>
    <row r="980" spans="1:4" x14ac:dyDescent="0.35">
      <c r="A980" s="5">
        <v>45911</v>
      </c>
      <c r="B980" s="3">
        <v>7.4945323387522356E-2</v>
      </c>
      <c r="C980" s="3">
        <v>5.8861699423357283E-2</v>
      </c>
      <c r="D980" s="3">
        <v>-0.40645025737997686</v>
      </c>
    </row>
    <row r="981" spans="1:4" x14ac:dyDescent="0.35">
      <c r="A981" s="5">
        <v>45912</v>
      </c>
      <c r="B981" s="3">
        <v>8.9572094366197508E-2</v>
      </c>
      <c r="C981" s="3">
        <v>7.0421310356822753E-2</v>
      </c>
      <c r="D981" s="3">
        <v>-0.40287845361907759</v>
      </c>
    </row>
    <row r="982" spans="1:4" x14ac:dyDescent="0.35">
      <c r="A982" s="5">
        <v>45915</v>
      </c>
      <c r="B982" s="3">
        <v>8.956073229656103E-2</v>
      </c>
      <c r="C982" s="3">
        <v>7.0421310356822753E-2</v>
      </c>
      <c r="D982" s="3">
        <v>-0.40287845361907759</v>
      </c>
    </row>
    <row r="983" spans="1:4" x14ac:dyDescent="0.35">
      <c r="A983" s="5">
        <v>45916</v>
      </c>
      <c r="B983" s="3">
        <v>8.9556944940015537E-2</v>
      </c>
      <c r="C983" s="3">
        <v>7.0421310356822753E-2</v>
      </c>
      <c r="D983" s="3">
        <v>-0.40287845361907759</v>
      </c>
    </row>
    <row r="984" spans="1:4" x14ac:dyDescent="0.35">
      <c r="A984" s="5">
        <v>45917</v>
      </c>
      <c r="B984" s="3">
        <v>0.10691471311589096</v>
      </c>
      <c r="C984" s="3">
        <v>7.8161165594102577E-2</v>
      </c>
      <c r="D984" s="3">
        <v>-0.39867633154743143</v>
      </c>
    </row>
    <row r="985" spans="1:4" x14ac:dyDescent="0.35">
      <c r="A985" s="5">
        <v>45918</v>
      </c>
      <c r="B985" s="3">
        <v>0.12108662853779384</v>
      </c>
      <c r="C985" s="3">
        <v>6.9618559597554475E-2</v>
      </c>
      <c r="D985" s="3">
        <v>-0.39478936863115877</v>
      </c>
    </row>
    <row r="986" spans="1:4" x14ac:dyDescent="0.35">
      <c r="A986" s="5">
        <v>45919</v>
      </c>
      <c r="B986" s="3">
        <v>0.15306208698314716</v>
      </c>
      <c r="C986" s="3">
        <v>6.9150288321314424E-2</v>
      </c>
      <c r="D986" s="3">
        <v>-0.38943166298980991</v>
      </c>
    </row>
    <row r="987" spans="1:4" x14ac:dyDescent="0.35">
      <c r="A987" s="5">
        <v>45922</v>
      </c>
      <c r="B987" s="3">
        <v>0.16276759072397895</v>
      </c>
      <c r="C987" s="3">
        <v>7.2568668637865708E-2</v>
      </c>
      <c r="D987" s="3">
        <v>-0.38869629162727182</v>
      </c>
    </row>
    <row r="988" spans="1:4" x14ac:dyDescent="0.35">
      <c r="A988" s="5">
        <v>45923</v>
      </c>
      <c r="B988" s="3">
        <v>0.17906612175702619</v>
      </c>
      <c r="C988" s="3">
        <v>7.2709150020737745E-2</v>
      </c>
      <c r="D988" s="3">
        <v>-0.38628007143607523</v>
      </c>
    </row>
    <row r="989" spans="1:4" x14ac:dyDescent="0.35">
      <c r="A989" s="5">
        <v>45924</v>
      </c>
      <c r="B989" s="3">
        <v>0.1757577465277218</v>
      </c>
      <c r="C989" s="3">
        <v>7.0106899642776055E-2</v>
      </c>
      <c r="D989" s="3">
        <v>-0.38092236579472627</v>
      </c>
    </row>
    <row r="990" spans="1:4" x14ac:dyDescent="0.35">
      <c r="A990" s="5">
        <v>45925</v>
      </c>
      <c r="B990" s="3">
        <v>0.18294790873165834</v>
      </c>
      <c r="C990" s="3">
        <v>6.9310838473168213E-2</v>
      </c>
      <c r="D990" s="3">
        <v>-0.38459922260741675</v>
      </c>
    </row>
    <row r="991" spans="1:4" x14ac:dyDescent="0.35">
      <c r="A991" s="5">
        <v>45926</v>
      </c>
      <c r="B991" s="3">
        <v>0.18625368947262033</v>
      </c>
      <c r="C991" s="3">
        <v>7.6388424334051352E-2</v>
      </c>
      <c r="D991" s="3">
        <v>-0.39216304233637989</v>
      </c>
    </row>
    <row r="992" spans="1:4" x14ac:dyDescent="0.35">
      <c r="A992" s="5">
        <v>45929</v>
      </c>
      <c r="B992" s="3">
        <v>0.18374441665270891</v>
      </c>
      <c r="C992" s="3">
        <v>7.7659446369559904E-2</v>
      </c>
      <c r="D992" s="3">
        <v>-0.39384389116503826</v>
      </c>
    </row>
    <row r="993" spans="1:4" x14ac:dyDescent="0.35">
      <c r="A993" s="5">
        <v>45930</v>
      </c>
      <c r="B993" s="3">
        <v>0.18510601606336974</v>
      </c>
      <c r="C993" s="3">
        <v>7.8281578207992863E-2</v>
      </c>
      <c r="D993" s="3">
        <v>-0.39373883811324717</v>
      </c>
    </row>
    <row r="994" spans="1:4" x14ac:dyDescent="0.35">
      <c r="A994" s="5">
        <v>45931</v>
      </c>
      <c r="B994" s="3">
        <v>0.1924420809594225</v>
      </c>
      <c r="C994" s="3">
        <v>8.4295519312845402E-2</v>
      </c>
      <c r="D994" s="3">
        <v>-0.3774556150856182</v>
      </c>
    </row>
    <row r="995" spans="1:4" x14ac:dyDescent="0.35">
      <c r="A995" s="5">
        <v>45932</v>
      </c>
      <c r="B995" s="3">
        <v>0.18655178723662558</v>
      </c>
      <c r="C995" s="3">
        <v>9.5620994608190735E-2</v>
      </c>
      <c r="D995" s="3">
        <v>-0.34205273663199909</v>
      </c>
    </row>
    <row r="996" spans="1:4" x14ac:dyDescent="0.35">
      <c r="A996" s="5">
        <v>45933</v>
      </c>
      <c r="B996" s="3">
        <v>0.18356147540287981</v>
      </c>
      <c r="C996" s="3">
        <v>9.3788047041194478E-2</v>
      </c>
      <c r="D996" s="3">
        <v>-0.33900619813005561</v>
      </c>
    </row>
    <row r="997" spans="1:4" x14ac:dyDescent="0.35">
      <c r="A997" s="5">
        <v>45936</v>
      </c>
      <c r="B997" s="3">
        <v>0.18130945952186361</v>
      </c>
      <c r="C997" s="3">
        <v>9.5814992708347368E-2</v>
      </c>
      <c r="D997" s="3">
        <v>-0.33869103897468222</v>
      </c>
    </row>
    <row r="998" spans="1:4" x14ac:dyDescent="0.35">
      <c r="A998" s="5">
        <v>45937</v>
      </c>
      <c r="B998" s="3">
        <v>0.17399127273800752</v>
      </c>
      <c r="C998" s="3">
        <v>9.042318344192779E-2</v>
      </c>
      <c r="D998" s="3">
        <v>-0.33291312112616867</v>
      </c>
    </row>
    <row r="999" spans="1:4" x14ac:dyDescent="0.35">
      <c r="A999" s="5">
        <v>45938</v>
      </c>
      <c r="B999" s="3">
        <v>0.16975301201167081</v>
      </c>
      <c r="C999" s="3">
        <v>8.8730717257803571E-2</v>
      </c>
      <c r="D999" s="3">
        <v>-0.34110725916587881</v>
      </c>
    </row>
    <row r="1000" spans="1:4" x14ac:dyDescent="0.35">
      <c r="A1000" s="5">
        <v>45939</v>
      </c>
      <c r="B1000" s="3">
        <v>0.1867522934707484</v>
      </c>
      <c r="C1000" s="3">
        <v>9.0182358214147218E-2</v>
      </c>
      <c r="D1000" s="3">
        <v>-0.32230276289526205</v>
      </c>
    </row>
    <row r="1001" spans="1:4" x14ac:dyDescent="0.35">
      <c r="A1001" s="5">
        <v>45940</v>
      </c>
      <c r="B1001" s="3">
        <v>0.19034512303398299</v>
      </c>
      <c r="C1001" s="3">
        <v>8.5218682686004188E-2</v>
      </c>
      <c r="D1001" s="3">
        <v>-0.33070700703855449</v>
      </c>
    </row>
    <row r="1002" spans="1:4" x14ac:dyDescent="0.35">
      <c r="A1002" s="5">
        <v>45943</v>
      </c>
      <c r="B1002" s="3">
        <v>0.17021933401404743</v>
      </c>
      <c r="C1002" s="3">
        <v>8.0495832385641508E-2</v>
      </c>
      <c r="D1002" s="3">
        <v>-0.33637987183527673</v>
      </c>
    </row>
    <row r="1003" spans="1:4" x14ac:dyDescent="0.35">
      <c r="A1003" s="5">
        <v>45944</v>
      </c>
      <c r="B1003" s="3">
        <v>0.16502977580642852</v>
      </c>
      <c r="C1003" s="3">
        <v>7.8000615442248789E-2</v>
      </c>
      <c r="D1003" s="3">
        <v>-0.35161256434499422</v>
      </c>
    </row>
    <row r="1004" spans="1:4" x14ac:dyDescent="0.35">
      <c r="A1004" s="5">
        <v>45945</v>
      </c>
      <c r="B1004" s="3">
        <v>0.17184348371625502</v>
      </c>
      <c r="C1004" s="3">
        <v>7.8060821749194043E-2</v>
      </c>
      <c r="D1004" s="3">
        <v>-0.34657001785901875</v>
      </c>
    </row>
    <row r="1005" spans="1:4" x14ac:dyDescent="0.35">
      <c r="A1005" s="5">
        <v>45946</v>
      </c>
      <c r="B1005" s="3">
        <v>0.17924166722399493</v>
      </c>
      <c r="C1005" s="3">
        <v>7.8555851384076059E-2</v>
      </c>
      <c r="D1005" s="3">
        <v>-0.33396365164408026</v>
      </c>
    </row>
    <row r="1006" spans="1:4" x14ac:dyDescent="0.35">
      <c r="A1006" s="5">
        <v>45947</v>
      </c>
      <c r="B1006" s="3">
        <v>0.16019777984275008</v>
      </c>
      <c r="C1006" s="3">
        <v>7.5137471067524775E-2</v>
      </c>
      <c r="D1006" s="3">
        <v>-0.35938649017753965</v>
      </c>
    </row>
    <row r="1007" spans="1:4" x14ac:dyDescent="0.35">
      <c r="A1007" s="5">
        <v>45950</v>
      </c>
      <c r="B1007" s="3">
        <v>0.16018579151730683</v>
      </c>
      <c r="C1007" s="3">
        <v>7.5137471067524775E-2</v>
      </c>
      <c r="D1007" s="3">
        <v>-0.35938649017753965</v>
      </c>
    </row>
    <row r="1008" spans="1:4" x14ac:dyDescent="0.35">
      <c r="A1008" s="5">
        <v>45951</v>
      </c>
      <c r="B1008" s="3">
        <v>0.17217608519304073</v>
      </c>
      <c r="C1008" s="3">
        <v>8.1592925089974955E-2</v>
      </c>
      <c r="D1008" s="3">
        <v>-0.34415379766782228</v>
      </c>
    </row>
    <row r="1009" spans="1:4" x14ac:dyDescent="0.35">
      <c r="A1009" s="5">
        <v>45952</v>
      </c>
      <c r="B1009" s="3">
        <v>0.17068440350481007</v>
      </c>
      <c r="C1009" s="3">
        <v>7.2133845309928724E-2</v>
      </c>
      <c r="D1009" s="3">
        <v>-0.34667507091080996</v>
      </c>
    </row>
    <row r="1010" spans="1:4" x14ac:dyDescent="0.35">
      <c r="A1010" s="5">
        <v>45953</v>
      </c>
      <c r="B1010" s="3">
        <v>0.17532558528851783</v>
      </c>
      <c r="C1010" s="3">
        <v>7.5686017419691609E-2</v>
      </c>
      <c r="D1010" s="3">
        <v>-0.34730538922155685</v>
      </c>
    </row>
    <row r="1011" spans="1:4" x14ac:dyDescent="0.35">
      <c r="A1011" s="5">
        <v>45954</v>
      </c>
      <c r="B1011" s="3">
        <v>0.16243901517737913</v>
      </c>
      <c r="C1011" s="3">
        <v>7.9211431170812086E-2</v>
      </c>
      <c r="D1011" s="3">
        <v>-0.33848093287109993</v>
      </c>
    </row>
    <row r="1012" spans="1:4" x14ac:dyDescent="0.35">
      <c r="A1012" s="5">
        <v>45957</v>
      </c>
      <c r="B1012" s="3">
        <v>0.17198185642783814</v>
      </c>
      <c r="C1012" s="3">
        <v>8.2629811487363591E-2</v>
      </c>
      <c r="D1012" s="3">
        <v>-0.33081206009034558</v>
      </c>
    </row>
    <row r="1013" spans="1:4" x14ac:dyDescent="0.35">
      <c r="A1013" s="5">
        <v>45958</v>
      </c>
      <c r="B1013" s="3">
        <v>0.15793971015560215</v>
      </c>
      <c r="C1013" s="3">
        <v>7.9405429270968497E-2</v>
      </c>
      <c r="D1013" s="3">
        <v>-0.33102216619392788</v>
      </c>
    </row>
    <row r="1014" spans="1:4" x14ac:dyDescent="0.35">
      <c r="A1014" s="5">
        <v>45959</v>
      </c>
      <c r="B1014" s="3">
        <v>0.13907199449713259</v>
      </c>
      <c r="C1014" s="3">
        <v>7.5699396599012703E-2</v>
      </c>
      <c r="D1014" s="3">
        <v>-0.33343838638512446</v>
      </c>
    </row>
    <row r="1015" spans="1:4" x14ac:dyDescent="0.35">
      <c r="A1015" s="5">
        <v>45960</v>
      </c>
      <c r="B1015" s="3">
        <v>0.13941100764051129</v>
      </c>
      <c r="C1015" s="3">
        <v>7.9833563009245045E-2</v>
      </c>
      <c r="D1015" s="3">
        <v>-0.33732534930139724</v>
      </c>
    </row>
    <row r="1016" spans="1:4" x14ac:dyDescent="0.35">
      <c r="A1016" s="5">
        <v>45961</v>
      </c>
      <c r="B1016" s="3">
        <v>0.16630028481891435</v>
      </c>
      <c r="C1016" s="3">
        <v>7.6455320230657264E-2</v>
      </c>
      <c r="D1016" s="3">
        <v>-0.33511923521378295</v>
      </c>
    </row>
    <row r="1017" spans="1:4" x14ac:dyDescent="0.35">
      <c r="A1017" s="5">
        <v>45964</v>
      </c>
      <c r="B1017" s="3">
        <v>0.13951575637961389</v>
      </c>
      <c r="C1017" s="3">
        <v>8.5332405710233816E-2</v>
      </c>
      <c r="D1017" s="3">
        <v>-0.34667507091080996</v>
      </c>
    </row>
    <row r="1018" spans="1:4" x14ac:dyDescent="0.35">
      <c r="A1018" s="5">
        <v>45965</v>
      </c>
      <c r="B1018" s="3">
        <v>0.14277729662108585</v>
      </c>
      <c r="C1018" s="3">
        <v>8.6054881393575311E-2</v>
      </c>
      <c r="D1018" s="3">
        <v>-0.35676016388276077</v>
      </c>
    </row>
    <row r="1019" spans="1:4" x14ac:dyDescent="0.35">
      <c r="A1019" s="5">
        <v>45966</v>
      </c>
      <c r="B1019" s="3">
        <v>0.14258994175890449</v>
      </c>
      <c r="C1019" s="3">
        <v>8.4750411409764137E-2</v>
      </c>
      <c r="D1019" s="3">
        <v>-0.35633995167559618</v>
      </c>
    </row>
    <row r="1020" spans="1:4" x14ac:dyDescent="0.35">
      <c r="A1020" s="5">
        <v>45967</v>
      </c>
      <c r="B1020" s="3">
        <v>0.16104860799960874</v>
      </c>
      <c r="C1020" s="3">
        <v>8.3004428508355321E-2</v>
      </c>
      <c r="D1020" s="3">
        <v>-0.35402878453619069</v>
      </c>
    </row>
    <row r="1021" spans="1:4" x14ac:dyDescent="0.35">
      <c r="A1021" s="5">
        <v>45968</v>
      </c>
      <c r="B1021" s="3">
        <v>0.16866554862498195</v>
      </c>
      <c r="C1021" s="3">
        <v>8.3131530711906265E-2</v>
      </c>
      <c r="D1021" s="3">
        <v>-0.3542388906397731</v>
      </c>
    </row>
    <row r="1022" spans="1:4" x14ac:dyDescent="0.35">
      <c r="A1022" s="5">
        <v>45971</v>
      </c>
      <c r="B1022" s="3">
        <v>0.17326384679678086</v>
      </c>
      <c r="C1022" s="3">
        <v>8.9894705858742707E-2</v>
      </c>
      <c r="D1022" s="3">
        <v>-0.34562454039289836</v>
      </c>
    </row>
    <row r="1023" spans="1:4" x14ac:dyDescent="0.35">
      <c r="A1023" s="5">
        <v>45972</v>
      </c>
      <c r="B1023" s="3">
        <v>0.17291763171162433</v>
      </c>
      <c r="C1023" s="3">
        <v>9.3634186479001347E-2</v>
      </c>
      <c r="D1023" s="3">
        <v>-0.34425885071961337</v>
      </c>
    </row>
    <row r="1024" spans="1:4" x14ac:dyDescent="0.35">
      <c r="A1024" s="5">
        <v>45973</v>
      </c>
      <c r="B1024" s="3">
        <v>0.16531994099688219</v>
      </c>
      <c r="C1024" s="3">
        <v>9.1480138608297734E-2</v>
      </c>
      <c r="D1024" s="3">
        <v>-0.34867107889484183</v>
      </c>
    </row>
    <row r="1025" spans="1:4" x14ac:dyDescent="0.35">
      <c r="A1025" s="5">
        <v>45974</v>
      </c>
      <c r="B1025" s="3">
        <v>0.16815941464632034</v>
      </c>
      <c r="C1025" s="3">
        <v>9.1921651525895376E-2</v>
      </c>
      <c r="D1025" s="3">
        <v>-0.35234793570753231</v>
      </c>
    </row>
    <row r="1026" spans="1:4" x14ac:dyDescent="0.35">
      <c r="A1026" s="5">
        <v>45975</v>
      </c>
      <c r="B1026" s="3">
        <v>0.15897971229865182</v>
      </c>
      <c r="C1026" s="3">
        <v>8.750652234991918E-2</v>
      </c>
      <c r="D1026" s="3">
        <v>-0.36505935497426201</v>
      </c>
    </row>
    <row r="1027" spans="1:4" x14ac:dyDescent="0.35">
      <c r="A1027" s="5">
        <v>45978</v>
      </c>
      <c r="B1027" s="3">
        <v>0.13982512674814074</v>
      </c>
      <c r="C1027" s="3">
        <v>8.8683890130179632E-2</v>
      </c>
      <c r="D1027" s="3">
        <v>-0.36747557516545848</v>
      </c>
    </row>
    <row r="1028" spans="1:4" x14ac:dyDescent="0.35">
      <c r="A1028" s="5">
        <v>45979</v>
      </c>
      <c r="B1028" s="3">
        <v>0.13252875454155255</v>
      </c>
      <c r="C1028" s="3">
        <v>7.9739908753997168E-2</v>
      </c>
      <c r="D1028" s="3">
        <v>-0.3777707742409917</v>
      </c>
    </row>
    <row r="1029" spans="1:4" x14ac:dyDescent="0.35">
      <c r="A1029" s="5">
        <v>45980</v>
      </c>
      <c r="B1029" s="3">
        <v>0.15709790306453053</v>
      </c>
      <c r="C1029" s="3">
        <v>8.6315775390337635E-2</v>
      </c>
      <c r="D1029" s="3">
        <v>-0.3782960394999475</v>
      </c>
    </row>
    <row r="1030" spans="1:4" x14ac:dyDescent="0.35">
      <c r="A1030" s="5">
        <v>45981</v>
      </c>
      <c r="B1030" s="3">
        <v>0.16887346555281768</v>
      </c>
      <c r="C1030" s="3">
        <v>8.3686766653733535E-2</v>
      </c>
      <c r="D1030" s="3">
        <v>-0.3651644080260531</v>
      </c>
    </row>
    <row r="1031" spans="1:4" x14ac:dyDescent="0.35">
      <c r="A1031" s="5">
        <v>45982</v>
      </c>
      <c r="B1031" s="3">
        <v>0.13139445616703149</v>
      </c>
      <c r="C1031" s="3">
        <v>8.2087954724857193E-2</v>
      </c>
      <c r="D1031" s="3">
        <v>-0.38081731274293518</v>
      </c>
    </row>
    <row r="1032" spans="1:4" x14ac:dyDescent="0.35">
      <c r="A1032" s="5">
        <v>45985</v>
      </c>
      <c r="B1032" s="3">
        <v>0.12626494396259669</v>
      </c>
      <c r="C1032" s="3">
        <v>8.2897395073786129E-2</v>
      </c>
      <c r="D1032" s="3">
        <v>-0.37651013761949781</v>
      </c>
    </row>
    <row r="1033" spans="1:4" x14ac:dyDescent="0.35">
      <c r="A1033" s="5">
        <v>45986</v>
      </c>
      <c r="B1033" s="3">
        <v>0.14835890587457268</v>
      </c>
      <c r="C1033" s="3">
        <v>7.8187923952744764E-2</v>
      </c>
      <c r="D1033" s="3">
        <v>-0.37010190146023736</v>
      </c>
    </row>
    <row r="1034" spans="1:4" x14ac:dyDescent="0.35">
      <c r="A1034" s="5">
        <v>45987</v>
      </c>
      <c r="B1034" s="3">
        <v>0.1463568704364111</v>
      </c>
      <c r="C1034" s="3">
        <v>8.6723840359632431E-2</v>
      </c>
      <c r="D1034" s="3">
        <v>-0.37997688832860588</v>
      </c>
    </row>
    <row r="1035" spans="1:4" x14ac:dyDescent="0.35">
      <c r="A1035" s="5">
        <v>45988</v>
      </c>
      <c r="B1035" s="3">
        <v>0.13197882738897726</v>
      </c>
      <c r="C1035" s="3">
        <v>8.2014369238591067E-2</v>
      </c>
      <c r="D1035" s="3">
        <v>-0.38123752495009977</v>
      </c>
    </row>
    <row r="1036" spans="1:4" x14ac:dyDescent="0.35">
      <c r="A1036" s="5">
        <v>45989</v>
      </c>
      <c r="B1036" s="3">
        <v>0.11255604033380573</v>
      </c>
      <c r="C1036" s="3">
        <v>7.3324592269510269E-2</v>
      </c>
      <c r="D1036" s="3">
        <v>-0.39457926252757636</v>
      </c>
    </row>
    <row r="1037" spans="1:4" x14ac:dyDescent="0.35">
      <c r="A1037" s="5">
        <v>45992</v>
      </c>
      <c r="B1037" s="3">
        <v>0.10285235571698381</v>
      </c>
      <c r="C1037" s="3">
        <v>8.677066748725637E-2</v>
      </c>
      <c r="D1037" s="3">
        <v>-0.40802605315684415</v>
      </c>
    </row>
    <row r="1038" spans="1:4" x14ac:dyDescent="0.35">
      <c r="A1038" s="5">
        <v>45993</v>
      </c>
      <c r="B1038" s="3">
        <v>7.5069247482993262E-2</v>
      </c>
      <c r="C1038" s="3">
        <v>9.0804490052580178E-2</v>
      </c>
      <c r="D1038" s="3">
        <v>-0.40960184893371143</v>
      </c>
    </row>
    <row r="1039" spans="1:4" x14ac:dyDescent="0.35">
      <c r="A1039" s="5">
        <v>45994</v>
      </c>
      <c r="B1039" s="3">
        <v>7.6198684919585702E-2</v>
      </c>
      <c r="C1039" s="3">
        <v>8.5613368475977669E-2</v>
      </c>
      <c r="D1039" s="3">
        <v>-0.40025212732429871</v>
      </c>
    </row>
    <row r="1040" spans="1:4" x14ac:dyDescent="0.35">
      <c r="A1040" s="5">
        <v>45995</v>
      </c>
      <c r="B1040" s="3">
        <v>7.3332013875112123E-2</v>
      </c>
      <c r="C1040" s="3">
        <v>8.4429311106056781E-2</v>
      </c>
      <c r="D1040" s="3">
        <v>-0.39815106628847563</v>
      </c>
    </row>
    <row r="1041" spans="1:13" x14ac:dyDescent="0.35">
      <c r="A1041" s="5">
        <v>45996</v>
      </c>
      <c r="B1041" s="3">
        <v>7.7533101846063657E-2</v>
      </c>
      <c r="C1041" s="3">
        <v>8.1385547810497449E-2</v>
      </c>
      <c r="D1041" s="3">
        <v>-0.40403403718878039</v>
      </c>
    </row>
    <row r="1042" spans="1:13" x14ac:dyDescent="0.35">
      <c r="A1042" s="5">
        <v>45999</v>
      </c>
      <c r="B1042" s="3">
        <v>7.3823848346186827E-2</v>
      </c>
      <c r="C1042" s="3">
        <v>7.8883641277444072E-2</v>
      </c>
      <c r="D1042" s="3">
        <v>-0.40497951465490067</v>
      </c>
    </row>
    <row r="1043" spans="1:13" x14ac:dyDescent="0.35">
      <c r="A1043" s="5">
        <v>46000</v>
      </c>
      <c r="B1043" s="3">
        <v>7.2686851107355732E-2</v>
      </c>
      <c r="C1043" s="3">
        <v>7.9813494240263516E-2</v>
      </c>
      <c r="D1043" s="3">
        <v>-0.40676541653535037</v>
      </c>
    </row>
    <row r="1044" spans="1:13" x14ac:dyDescent="0.35">
      <c r="A1044" s="5">
        <v>46001</v>
      </c>
      <c r="B1044" s="3">
        <v>7.9661357650987252E-2</v>
      </c>
      <c r="C1044" s="3">
        <v>7.7692894317862526E-2</v>
      </c>
      <c r="D1044" s="3">
        <v>-0.39972686206534302</v>
      </c>
    </row>
    <row r="1045" spans="1:13" x14ac:dyDescent="0.35">
      <c r="A1045" s="5">
        <v>46002</v>
      </c>
      <c r="B1045" s="3">
        <v>8.0910081907910492E-2</v>
      </c>
      <c r="C1045" s="3">
        <v>8.7319213839423204E-2</v>
      </c>
      <c r="D1045" s="3">
        <v>-0.40109255173862801</v>
      </c>
    </row>
    <row r="1046" spans="1:13" x14ac:dyDescent="0.35">
      <c r="A1046" s="5">
        <v>46003</v>
      </c>
      <c r="B1046" s="3">
        <v>7.9623946321961236E-2</v>
      </c>
      <c r="C1046" s="3">
        <v>9.5627684197851393E-2</v>
      </c>
      <c r="D1046" s="3">
        <v>-0.39972686206534302</v>
      </c>
      <c r="G1046" s="8"/>
      <c r="H1046" s="9"/>
      <c r="I1046" s="9"/>
      <c r="J1046" s="9"/>
    </row>
    <row r="1047" spans="1:13" x14ac:dyDescent="0.35">
      <c r="A1047" s="5">
        <v>46006</v>
      </c>
      <c r="B1047" s="3">
        <v>6.455262318561994E-2</v>
      </c>
      <c r="C1047" s="3">
        <v>9.9581231687248417E-2</v>
      </c>
      <c r="D1047" s="3">
        <v>-0.40413909024057149</v>
      </c>
      <c r="G1047" s="5"/>
      <c r="H1047" s="9"/>
      <c r="I1047" s="9"/>
      <c r="J1047" s="9"/>
      <c r="K1047" s="3"/>
      <c r="L1047" s="3"/>
      <c r="M1047" s="3"/>
    </row>
    <row r="1048" spans="1:13" x14ac:dyDescent="0.35">
      <c r="A1048" s="5">
        <v>46007</v>
      </c>
      <c r="B1048" s="3">
        <v>4.8754604739826179E-2</v>
      </c>
      <c r="C1048" s="3">
        <v>0.10265175334145016</v>
      </c>
      <c r="D1048" s="3">
        <v>-0.4144342893161046</v>
      </c>
      <c r="G1048" s="5"/>
      <c r="H1048" s="9"/>
      <c r="I1048" s="9"/>
      <c r="J1048" s="9"/>
      <c r="K1048" s="3"/>
      <c r="L1048" s="3"/>
      <c r="M1048" s="3"/>
    </row>
    <row r="1049" spans="1:13" x14ac:dyDescent="0.35">
      <c r="A1049" s="5">
        <v>46008</v>
      </c>
      <c r="B1049" s="3">
        <v>4.3293519907430911E-2</v>
      </c>
      <c r="C1049" s="3">
        <v>9.8056005244638422E-2</v>
      </c>
      <c r="D1049" s="3">
        <v>-0.4019329761529572</v>
      </c>
      <c r="G1049" s="5"/>
      <c r="H1049" s="9"/>
      <c r="I1049" s="9"/>
      <c r="J1049" s="9"/>
      <c r="K1049" s="3"/>
      <c r="L1049" s="3"/>
      <c r="M1049" s="3"/>
    </row>
    <row r="1050" spans="1:13" x14ac:dyDescent="0.35">
      <c r="A1050" s="5">
        <v>46009</v>
      </c>
      <c r="B1050" s="3">
        <v>5.8528713313200642E-2</v>
      </c>
      <c r="C1050" s="3">
        <v>0.10170852119930984</v>
      </c>
      <c r="D1050" s="3">
        <v>-0.40529467381027418</v>
      </c>
      <c r="G1050" s="5"/>
      <c r="H1050" s="9"/>
      <c r="I1050" s="9"/>
      <c r="J1050" s="9"/>
      <c r="K1050" s="3"/>
      <c r="L1050" s="3"/>
      <c r="M1050" s="3"/>
    </row>
    <row r="1051" spans="1:13" x14ac:dyDescent="0.35">
      <c r="A1051" s="5">
        <v>46010</v>
      </c>
      <c r="B1051" s="3">
        <v>4.5164861723067995E-2</v>
      </c>
      <c r="C1051" s="3">
        <v>0.11441874155439313</v>
      </c>
      <c r="D1051" s="3">
        <v>-0.40413909024057149</v>
      </c>
      <c r="G1051" s="5"/>
      <c r="H1051" s="9"/>
      <c r="I1051" s="9"/>
      <c r="J1051" s="9"/>
      <c r="K1051" s="3"/>
      <c r="L1051" s="3"/>
      <c r="M1051" s="3"/>
    </row>
    <row r="1052" spans="1:13" x14ac:dyDescent="0.35">
      <c r="A1052" s="5">
        <v>46013</v>
      </c>
      <c r="B1052" s="3">
        <v>4.4915194408116532E-2</v>
      </c>
      <c r="C1052" s="3">
        <v>0.11802443038144039</v>
      </c>
      <c r="D1052" s="3">
        <v>-0.40382393108519798</v>
      </c>
      <c r="G1052" s="5"/>
      <c r="H1052" s="9"/>
      <c r="I1052" s="9"/>
      <c r="J1052" s="9"/>
      <c r="K1052" s="3"/>
      <c r="L1052" s="3"/>
      <c r="M1052" s="3"/>
    </row>
    <row r="1053" spans="1:13" x14ac:dyDescent="0.35">
      <c r="A1053" s="5">
        <v>46014</v>
      </c>
      <c r="B1053" s="3">
        <v>5.421586850245208E-2</v>
      </c>
      <c r="C1053" s="3">
        <v>0.12160336084984569</v>
      </c>
      <c r="D1053" s="3">
        <v>-0.4020380292047484</v>
      </c>
    </row>
    <row r="1054" spans="1:13" x14ac:dyDescent="0.35">
      <c r="A1054" s="5">
        <v>46015</v>
      </c>
      <c r="B1054" s="3">
        <v>5.8685396551704461E-2</v>
      </c>
      <c r="C1054" s="3">
        <v>0.12272052232316066</v>
      </c>
      <c r="D1054" s="3">
        <v>-0.40392898413698919</v>
      </c>
    </row>
    <row r="1055" spans="1:13" x14ac:dyDescent="0.35">
      <c r="A1055" s="5">
        <v>46016</v>
      </c>
      <c r="B1055" s="3">
        <v>5.8681653927716404E-2</v>
      </c>
      <c r="C1055" s="3">
        <v>0.12272052232316066</v>
      </c>
      <c r="D1055" s="3">
        <v>-0.40392898413698919</v>
      </c>
    </row>
    <row r="1056" spans="1:13" x14ac:dyDescent="0.35">
      <c r="A1056" s="5">
        <v>46017</v>
      </c>
      <c r="B1056" s="3">
        <v>5.4801089642992906E-2</v>
      </c>
      <c r="C1056" s="3">
        <v>0.12191108197423173</v>
      </c>
      <c r="D1056" s="3">
        <v>-0.40876142451938224</v>
      </c>
    </row>
    <row r="1057" spans="1:4" x14ac:dyDescent="0.35">
      <c r="A1057" s="5">
        <v>46020</v>
      </c>
      <c r="B1057" s="3">
        <v>5.3298821249457617E-2</v>
      </c>
      <c r="C1057" s="3">
        <v>0.12451333235219364</v>
      </c>
      <c r="D1057" s="3">
        <v>-0.41096753860699653</v>
      </c>
    </row>
    <row r="1058" spans="1:4" x14ac:dyDescent="0.35">
      <c r="A1058" s="5">
        <v>46021</v>
      </c>
      <c r="B1058" s="3">
        <v>5.8394605105444253E-2</v>
      </c>
      <c r="C1058" s="3">
        <v>0.12688144709203542</v>
      </c>
      <c r="D1058" s="3">
        <v>-0.40991700808908493</v>
      </c>
    </row>
    <row r="1059" spans="1:4" x14ac:dyDescent="0.35">
      <c r="A1059" s="5">
        <v>46022</v>
      </c>
      <c r="B1059" s="3">
        <v>4.7625241857496281E-2</v>
      </c>
      <c r="C1059" s="3">
        <v>0.1239246484620633</v>
      </c>
      <c r="D1059" s="3">
        <v>-0.41601008509297188</v>
      </c>
    </row>
    <row r="1060" spans="1:4" x14ac:dyDescent="0.35">
      <c r="A1060" s="5">
        <v>46023</v>
      </c>
      <c r="B1060" s="3">
        <v>4.7621543966066104E-2</v>
      </c>
      <c r="C1060" s="3">
        <v>0.1239246484620633</v>
      </c>
      <c r="D1060" s="3">
        <v>-0.41601008509297188</v>
      </c>
    </row>
    <row r="1061" spans="1:4" x14ac:dyDescent="0.35">
      <c r="A1061" s="5">
        <v>46024</v>
      </c>
      <c r="B1061" s="3">
        <v>4.7856419715296417E-2</v>
      </c>
      <c r="C1061" s="3">
        <v>0.11700092316337329</v>
      </c>
      <c r="D1061" s="3">
        <v>-0.41737577476625698</v>
      </c>
    </row>
    <row r="1062" spans="1:4" x14ac:dyDescent="0.35">
      <c r="A1062" s="5">
        <v>46027</v>
      </c>
      <c r="B1062" s="3">
        <v>4.4743823979859432E-2</v>
      </c>
      <c r="C1062" s="3">
        <v>0.12406512984493534</v>
      </c>
      <c r="D1062" s="3">
        <v>-0.41065237945162303</v>
      </c>
    </row>
    <row r="1063" spans="1:4" x14ac:dyDescent="0.35">
      <c r="A1063" s="5">
        <v>46028</v>
      </c>
      <c r="B1063" s="3">
        <v>4.8855521389825851E-2</v>
      </c>
      <c r="C1063" s="3">
        <v>0.11873352688546079</v>
      </c>
      <c r="D1063" s="3">
        <v>-0.40319361277445109</v>
      </c>
    </row>
    <row r="1064" spans="1:4" x14ac:dyDescent="0.35">
      <c r="A1064" s="5">
        <v>46029</v>
      </c>
      <c r="B1064" s="3">
        <v>5.4040785271912473E-2</v>
      </c>
      <c r="C1064" s="3">
        <v>0.12173046305339641</v>
      </c>
      <c r="D1064" s="3">
        <v>-0.40088244563504571</v>
      </c>
    </row>
    <row r="1065" spans="1:4" x14ac:dyDescent="0.35">
      <c r="A1065" s="5">
        <v>46030</v>
      </c>
      <c r="B1065" s="3">
        <v>5.3917770738446613E-2</v>
      </c>
      <c r="C1065" s="3">
        <v>0.11687382095982235</v>
      </c>
      <c r="D1065" s="3">
        <v>-0.39626011135623485</v>
      </c>
    </row>
    <row r="1066" spans="1:4" x14ac:dyDescent="0.35">
      <c r="A1066" s="5">
        <v>46031</v>
      </c>
      <c r="B1066" s="3">
        <v>6.7333810312474318E-2</v>
      </c>
      <c r="C1066" s="3">
        <v>0.12822605461381009</v>
      </c>
      <c r="D1066" s="3">
        <v>-0.38207794936442907</v>
      </c>
    </row>
    <row r="1067" spans="1:4" x14ac:dyDescent="0.35">
      <c r="A1067" s="5">
        <v>46034</v>
      </c>
      <c r="B1067" s="3">
        <v>7.9990532610686671E-2</v>
      </c>
      <c r="C1067" s="3">
        <v>0.1341797894117176</v>
      </c>
      <c r="D1067" s="3">
        <v>-0.38470427565920784</v>
      </c>
    </row>
    <row r="1068" spans="1:4" x14ac:dyDescent="0.35">
      <c r="A1068" s="5">
        <v>46035</v>
      </c>
      <c r="B1068" s="3">
        <v>5.8164218552972935E-2</v>
      </c>
      <c r="C1068" s="3">
        <v>0.14271570581860527</v>
      </c>
      <c r="D1068" s="3">
        <v>-0.38953671604160101</v>
      </c>
    </row>
    <row r="1069" spans="1:4" x14ac:dyDescent="0.35">
      <c r="A1069" s="5">
        <v>46036</v>
      </c>
      <c r="B1069" s="3">
        <v>6.805141131314385E-2</v>
      </c>
      <c r="C1069" s="3">
        <v>0.14452858461661977</v>
      </c>
      <c r="D1069" s="3">
        <v>-0.38302342683054946</v>
      </c>
    </row>
    <row r="1070" spans="1:4" x14ac:dyDescent="0.35">
      <c r="A1070" s="5">
        <v>46037</v>
      </c>
      <c r="B1070" s="3">
        <v>6.4436810155866331E-2</v>
      </c>
      <c r="C1070" s="3">
        <v>0.14737166022236203</v>
      </c>
      <c r="D1070" s="3">
        <v>-0.37125748502994005</v>
      </c>
    </row>
    <row r="1071" spans="1:4" x14ac:dyDescent="0.35">
      <c r="A1071" s="5">
        <v>46038</v>
      </c>
      <c r="B1071" s="3">
        <v>5.8164388633380693E-2</v>
      </c>
      <c r="C1071" s="3">
        <v>0.14575277952450394</v>
      </c>
      <c r="D1071" s="3">
        <v>-0.3656896732850089</v>
      </c>
    </row>
    <row r="1072" spans="1:4" x14ac:dyDescent="0.35">
      <c r="A1072" s="5">
        <v>46041</v>
      </c>
      <c r="B1072" s="3">
        <v>4.8262647456795538E-2</v>
      </c>
      <c r="C1072" s="3">
        <v>0.14547850634842052</v>
      </c>
      <c r="D1072" s="3">
        <v>-0.37524950099800403</v>
      </c>
    </row>
    <row r="1073" spans="1:4" x14ac:dyDescent="0.35">
      <c r="A1073" s="5">
        <v>46042</v>
      </c>
      <c r="B1073" s="3">
        <v>4.8259036518908616E-2</v>
      </c>
      <c r="C1073" s="3">
        <v>0.14547850634842052</v>
      </c>
      <c r="D1073" s="3">
        <v>-0.37524950099800403</v>
      </c>
    </row>
    <row r="1074" spans="1:4" x14ac:dyDescent="0.35">
      <c r="A1074" s="5">
        <v>46043</v>
      </c>
      <c r="B1074" s="3">
        <v>5.7770879142535536E-2</v>
      </c>
      <c r="C1074" s="3">
        <v>0.14111689388972892</v>
      </c>
      <c r="D1074" s="3">
        <v>-0.37283328080680744</v>
      </c>
    </row>
    <row r="1075" spans="1:4" x14ac:dyDescent="0.35">
      <c r="A1075" s="5">
        <v>46044</v>
      </c>
      <c r="B1075" s="3">
        <v>5.2664804398156129E-2</v>
      </c>
      <c r="C1075" s="3">
        <v>0.14869619897515496</v>
      </c>
      <c r="D1075" s="3">
        <v>-0.37136253808173125</v>
      </c>
    </row>
    <row r="1076" spans="1:4" x14ac:dyDescent="0.35">
      <c r="A1076" s="5">
        <v>46045</v>
      </c>
      <c r="B1076" s="3">
        <v>5.7135638741747874E-2</v>
      </c>
      <c r="C1076" s="3">
        <v>0.15060273202841756</v>
      </c>
      <c r="D1076" s="3">
        <v>-0.38176279020905557</v>
      </c>
    </row>
    <row r="1077" spans="1:4" x14ac:dyDescent="0.35">
      <c r="A1077" s="5">
        <v>46048</v>
      </c>
      <c r="B1077" s="3">
        <v>5.7496237166728692E-2</v>
      </c>
      <c r="C1077" s="3">
        <v>0.16671126393107061</v>
      </c>
      <c r="D1077" s="3">
        <v>-0.39279336064712678</v>
      </c>
    </row>
    <row r="1078" spans="1:4" x14ac:dyDescent="0.35">
      <c r="A1078" s="5">
        <v>46049</v>
      </c>
      <c r="B1078" s="3">
        <v>6.2398803149023463E-2</v>
      </c>
      <c r="C1078" s="3">
        <v>0.18489356862850048</v>
      </c>
      <c r="D1078" s="3">
        <v>-0.38953671604160101</v>
      </c>
    </row>
    <row r="1079" spans="1:4" x14ac:dyDescent="0.35">
      <c r="A1079" s="5">
        <v>46050</v>
      </c>
      <c r="B1079" s="3">
        <v>6.2395166026820936E-2</v>
      </c>
      <c r="C1079" s="3">
        <v>0.1750197342894988</v>
      </c>
      <c r="D1079" s="3">
        <v>-0.40403403718878039</v>
      </c>
    </row>
    <row r="1080" spans="1:4" x14ac:dyDescent="0.35">
      <c r="A1080" s="5">
        <v>46051</v>
      </c>
      <c r="B1080" s="3">
        <v>4.2766768819322731E-2</v>
      </c>
      <c r="C1080" s="3">
        <v>0.15789438475843909</v>
      </c>
      <c r="D1080" s="3">
        <v>-0.40960184893371143</v>
      </c>
    </row>
    <row r="1081" spans="1:4" x14ac:dyDescent="0.35">
      <c r="A1081" s="5">
        <v>46052</v>
      </c>
      <c r="B1081" s="3">
        <v>4.7669374051138025E-2</v>
      </c>
      <c r="C1081" s="3">
        <v>0.16457728482934875</v>
      </c>
      <c r="D1081" s="3">
        <v>-0.40928668977833804</v>
      </c>
    </row>
    <row r="1082" spans="1:4" x14ac:dyDescent="0.35">
      <c r="A1082" s="50">
        <v>46055</v>
      </c>
      <c r="B1082">
        <v>4.8009392644375648E-2</v>
      </c>
      <c r="C1082">
        <v>0.16457728482934875</v>
      </c>
      <c r="D1082">
        <v>-0.40928668977833804</v>
      </c>
    </row>
    <row r="1083" spans="1:4" x14ac:dyDescent="0.35">
      <c r="A1083" s="50">
        <v>46056</v>
      </c>
      <c r="B1083">
        <v>5.7818161731167717E-2</v>
      </c>
      <c r="C1083">
        <v>0.16951420199884937</v>
      </c>
      <c r="D1083">
        <v>-0.40287845361907759</v>
      </c>
    </row>
    <row r="1084" spans="1:4" x14ac:dyDescent="0.35">
      <c r="A1084" s="50">
        <v>46057</v>
      </c>
      <c r="B1084">
        <v>4.3095941461820164E-2</v>
      </c>
      <c r="C1084">
        <v>0.16587506522349926</v>
      </c>
      <c r="D1084">
        <v>-0.41149280386595222</v>
      </c>
    </row>
    <row r="1085" spans="1:4" x14ac:dyDescent="0.35">
      <c r="A1085" s="50">
        <v>46058</v>
      </c>
      <c r="B1085">
        <v>-6.0519324747592251E-2</v>
      </c>
      <c r="C1085">
        <v>0.15798134942402631</v>
      </c>
      <c r="D1085">
        <v>-0.43376405084567704</v>
      </c>
    </row>
    <row r="1086" spans="1:4" x14ac:dyDescent="0.35">
      <c r="A1086" s="50">
        <v>46059</v>
      </c>
      <c r="B1086">
        <v>-7.0989186585791009E-2</v>
      </c>
      <c r="C1086">
        <v>0.1591921651525896</v>
      </c>
      <c r="D1086">
        <v>-0.4383863851244878</v>
      </c>
    </row>
    <row r="1087" spans="1:4" x14ac:dyDescent="0.35">
      <c r="A1087" s="50">
        <v>46062</v>
      </c>
      <c r="B1087">
        <v>5.5177009186194947E-2</v>
      </c>
      <c r="C1087">
        <v>0.17154783725566269</v>
      </c>
      <c r="D1087">
        <v>-0.41758588086983928</v>
      </c>
    </row>
    <row r="1088" spans="1:4" x14ac:dyDescent="0.35">
      <c r="A1088" s="50">
        <v>46063</v>
      </c>
      <c r="B1088">
        <v>3.4240294639677371E-2</v>
      </c>
      <c r="C1088">
        <v>0.16903255154328845</v>
      </c>
      <c r="D1088">
        <v>-0.41863641138775076</v>
      </c>
    </row>
    <row r="1089" spans="1:4" x14ac:dyDescent="0.35">
      <c r="A1089" s="50">
        <v>46064</v>
      </c>
      <c r="B1089">
        <v>6.5636325986641264E-2</v>
      </c>
      <c r="C1089">
        <v>0.17495283839289311</v>
      </c>
      <c r="D1089">
        <v>-0.41916167664670656</v>
      </c>
    </row>
    <row r="1090" spans="1:4" x14ac:dyDescent="0.35">
      <c r="A1090" s="50">
        <v>46065</v>
      </c>
      <c r="B1090">
        <v>6.5632662698092092E-2</v>
      </c>
      <c r="C1090">
        <v>0.17124680572093709</v>
      </c>
      <c r="D1090">
        <v>-0.41895157054312426</v>
      </c>
    </row>
    <row r="1091" spans="1:4" x14ac:dyDescent="0.35">
      <c r="A1091" s="50">
        <v>46066</v>
      </c>
      <c r="B1091">
        <v>4.9929191341306245E-2</v>
      </c>
      <c r="C1091">
        <v>0.16368087981483215</v>
      </c>
      <c r="D1091">
        <v>-0.4264103372202962</v>
      </c>
    </row>
    <row r="1092" spans="1:4" x14ac:dyDescent="0.35">
      <c r="A1092" s="50">
        <v>46069</v>
      </c>
      <c r="B1092">
        <v>9.9541325942091863E-2</v>
      </c>
      <c r="C1092">
        <v>0.16483148923645041</v>
      </c>
      <c r="D1092">
        <v>-0.42451938228805541</v>
      </c>
    </row>
    <row r="1093" spans="1:4" x14ac:dyDescent="0.35">
      <c r="A1093" s="50">
        <v>46070</v>
      </c>
      <c r="B1093">
        <v>9.9537599799196075E-2</v>
      </c>
      <c r="C1093">
        <v>0.16483148923645041</v>
      </c>
      <c r="D1093">
        <v>-0.42451938228805541</v>
      </c>
    </row>
    <row r="1094" spans="1:4" x14ac:dyDescent="0.35">
      <c r="A1094" s="50">
        <v>46071</v>
      </c>
      <c r="B1094">
        <v>9.9533873656300287E-2</v>
      </c>
      <c r="C1094">
        <v>0.16483148923645041</v>
      </c>
      <c r="D1094">
        <v>-0.42451938228805541</v>
      </c>
    </row>
    <row r="1095" spans="1:4" x14ac:dyDescent="0.35">
      <c r="A1095" s="50">
        <v>46072</v>
      </c>
      <c r="B1095">
        <v>0.1045149540628818</v>
      </c>
      <c r="C1095">
        <v>0.17208969401816887</v>
      </c>
      <c r="D1095">
        <v>-0.41170290996953463</v>
      </c>
    </row>
    <row r="1096" spans="1:4" x14ac:dyDescent="0.35">
      <c r="A1096" s="50">
        <v>46073</v>
      </c>
      <c r="B1096">
        <v>8.4571989260060931E-2</v>
      </c>
      <c r="C1096">
        <v>0.17257134447373002</v>
      </c>
      <c r="D1096">
        <v>-0.41884651749133306</v>
      </c>
    </row>
    <row r="1097" spans="1:4" x14ac:dyDescent="0.35">
      <c r="A1097" s="50">
        <v>46076</v>
      </c>
      <c r="B1097">
        <v>7.9576153826092844E-2</v>
      </c>
      <c r="C1097">
        <v>0.17601648314892371</v>
      </c>
      <c r="D1097">
        <v>-0.41327870574640191</v>
      </c>
    </row>
    <row r="1098" spans="1:4" x14ac:dyDescent="0.35">
      <c r="A1098" s="50">
        <v>46077</v>
      </c>
      <c r="B1098">
        <v>5.963326379537004E-2</v>
      </c>
      <c r="C1098">
        <v>0.17336071605367742</v>
      </c>
      <c r="D1098">
        <v>-0.4145393423678958</v>
      </c>
    </row>
    <row r="1099" spans="1:4" x14ac:dyDescent="0.35">
      <c r="A1099" s="50">
        <v>46078</v>
      </c>
      <c r="B1099">
        <v>5.4644843261144382E-2</v>
      </c>
      <c r="C1099">
        <v>0.16921317046412376</v>
      </c>
      <c r="D1099">
        <v>-0.41401407710894</v>
      </c>
    </row>
    <row r="1100" spans="1:4" x14ac:dyDescent="0.35">
      <c r="A1100" s="50">
        <v>46079</v>
      </c>
      <c r="B1100">
        <v>4.9656435188935255E-2</v>
      </c>
      <c r="C1100">
        <v>0.16461742236731203</v>
      </c>
      <c r="D1100">
        <v>-0.41622019119655429</v>
      </c>
    </row>
    <row r="1101" spans="1:4" x14ac:dyDescent="0.35">
      <c r="A1101" s="50">
        <v>46080</v>
      </c>
      <c r="B1101">
        <v>6.9592072326128518E-2</v>
      </c>
      <c r="C1101">
        <v>0.14834165072314476</v>
      </c>
      <c r="D1101">
        <v>-0.41306859964281961</v>
      </c>
    </row>
    <row r="1102" spans="1:4" x14ac:dyDescent="0.35">
      <c r="A1102">
        <v>46083</v>
      </c>
      <c r="B1102">
        <v>3.4687509753444701E-2</v>
      </c>
      <c r="C1102">
        <v>0.13711651927270774</v>
      </c>
      <c r="D1102">
        <v>-0.43029730013656897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FC6DB-CF7F-4EE6-8EE7-65037DB0E00F}">
  <sheetPr codeName="Sheet4"/>
  <dimension ref="A1:D1101"/>
  <sheetViews>
    <sheetView topLeftCell="A1011" workbookViewId="0">
      <selection activeCell="G1100" sqref="G1100"/>
    </sheetView>
  </sheetViews>
  <sheetFormatPr defaultRowHeight="14.5" x14ac:dyDescent="0.35"/>
  <cols>
    <col min="1" max="1" width="14.1796875" style="5" customWidth="1"/>
    <col min="2" max="4" width="14.1796875" style="3" customWidth="1"/>
  </cols>
  <sheetData>
    <row r="1" spans="1:4" x14ac:dyDescent="0.35">
      <c r="A1" s="5" t="s">
        <v>23</v>
      </c>
      <c r="B1" s="3" t="s">
        <v>36</v>
      </c>
      <c r="C1" s="3" t="s">
        <v>26</v>
      </c>
      <c r="D1" s="3" t="s">
        <v>42</v>
      </c>
    </row>
    <row r="2" spans="1:4" x14ac:dyDescent="0.35">
      <c r="A2" s="5" cm="1">
        <f t="array" ref="A2:D1101">_xlfn._xlws.FILTER(Data!A2:D3650,(Data!A2:A3650&lt;=EOMONTH(ID,0))*(Data!A2:A3650&lt;&gt;""))</f>
        <v>44543</v>
      </c>
      <c r="B2" s="3">
        <v>0</v>
      </c>
      <c r="C2" s="3">
        <v>0</v>
      </c>
      <c r="D2" s="3">
        <v>0</v>
      </c>
    </row>
    <row r="3" spans="1:4" x14ac:dyDescent="0.35">
      <c r="A3" s="5">
        <v>44544</v>
      </c>
      <c r="B3" s="3">
        <v>-2.8070175438599243E-5</v>
      </c>
      <c r="C3" s="3">
        <v>-9.3252879868347405E-3</v>
      </c>
      <c r="D3" s="3">
        <v>-2.6263262947788801E-3</v>
      </c>
    </row>
    <row r="4" spans="1:4" x14ac:dyDescent="0.35">
      <c r="A4" s="5">
        <v>44545</v>
      </c>
      <c r="B4" s="3">
        <v>-5.6140350877087464E-5</v>
      </c>
      <c r="C4" s="3">
        <v>-8.0609555409870692E-3</v>
      </c>
      <c r="D4" s="3">
        <v>-1.2606366214938935E-3</v>
      </c>
    </row>
    <row r="5" spans="1:4" x14ac:dyDescent="0.35">
      <c r="A5" s="5">
        <v>44546</v>
      </c>
      <c r="B5" s="3">
        <v>-8.4210526315686707E-5</v>
      </c>
      <c r="C5" s="3">
        <v>-6.8367606331026787E-3</v>
      </c>
      <c r="D5" s="3">
        <v>1.4707427250761906E-3</v>
      </c>
    </row>
    <row r="6" spans="1:4" x14ac:dyDescent="0.35">
      <c r="A6" s="5">
        <v>44547</v>
      </c>
      <c r="B6" s="3">
        <v>-0.21179473684210537</v>
      </c>
      <c r="C6" s="3">
        <v>4.7830566073077119E-3</v>
      </c>
      <c r="D6" s="3">
        <v>-8.7194032986658287E-3</v>
      </c>
    </row>
    <row r="7" spans="1:4" x14ac:dyDescent="0.35">
      <c r="A7" s="5">
        <v>44550</v>
      </c>
      <c r="B7" s="3">
        <v>-0.14659824561403523</v>
      </c>
      <c r="C7" s="3">
        <v>-6.4220060741460028E-4</v>
      </c>
      <c r="D7" s="3">
        <v>-1.8804496270616533E-2</v>
      </c>
    </row>
    <row r="8" spans="1:4" x14ac:dyDescent="0.35">
      <c r="A8" s="5">
        <v>44551</v>
      </c>
      <c r="B8" s="3">
        <v>-0.19679649122807019</v>
      </c>
      <c r="C8" s="3">
        <v>-1.5185368529494481E-3</v>
      </c>
      <c r="D8" s="3">
        <v>-1.4497321147179276E-2</v>
      </c>
    </row>
    <row r="9" spans="1:4" x14ac:dyDescent="0.35">
      <c r="A9" s="5">
        <v>44552</v>
      </c>
      <c r="B9" s="3">
        <v>-0.17331052631578947</v>
      </c>
      <c r="C9" s="3">
        <v>3.6525159546714203E-3</v>
      </c>
      <c r="D9" s="3">
        <v>-1.2396260111356194E-2</v>
      </c>
    </row>
    <row r="10" spans="1:4" x14ac:dyDescent="0.35">
      <c r="A10" s="5">
        <v>44553</v>
      </c>
      <c r="B10" s="3">
        <v>-0.16670350877192985</v>
      </c>
      <c r="C10" s="3">
        <v>1.4422755308189483E-2</v>
      </c>
      <c r="D10" s="3">
        <v>-3.7819098644815696E-3</v>
      </c>
    </row>
    <row r="11" spans="1:4" x14ac:dyDescent="0.35">
      <c r="A11" s="5">
        <v>44554</v>
      </c>
      <c r="B11" s="3">
        <v>-0.16141715827000525</v>
      </c>
      <c r="C11" s="3">
        <v>1.4442824077171235E-2</v>
      </c>
      <c r="D11" s="3">
        <v>-3.1515915537345673E-3</v>
      </c>
    </row>
    <row r="12" spans="1:4" x14ac:dyDescent="0.35">
      <c r="A12" s="5">
        <v>44557</v>
      </c>
      <c r="B12" s="3">
        <v>-0.14593217593800123</v>
      </c>
      <c r="C12" s="3">
        <v>2.6122847624526768E-2</v>
      </c>
      <c r="D12" s="3">
        <v>4.2021220716459418E-4</v>
      </c>
    </row>
    <row r="13" spans="1:4" x14ac:dyDescent="0.35">
      <c r="A13" s="5">
        <v>44558</v>
      </c>
      <c r="B13" s="3">
        <v>-0.13348665996184472</v>
      </c>
      <c r="C13" s="3">
        <v>3.0123222241547731E-2</v>
      </c>
      <c r="D13" s="3">
        <v>1.6283223027628857E-2</v>
      </c>
    </row>
    <row r="14" spans="1:4" x14ac:dyDescent="0.35">
      <c r="A14" s="5">
        <v>44559</v>
      </c>
      <c r="B14" s="3">
        <v>-0.12709044745589615</v>
      </c>
      <c r="C14" s="3">
        <v>3.3568360916741424E-2</v>
      </c>
      <c r="D14" s="3">
        <v>1.6913541338375859E-2</v>
      </c>
    </row>
    <row r="15" spans="1:4" x14ac:dyDescent="0.35">
      <c r="A15" s="5">
        <v>44560</v>
      </c>
      <c r="B15" s="3">
        <v>-0.13000028588023904</v>
      </c>
      <c r="C15" s="3">
        <v>3.2611749595279793E-2</v>
      </c>
      <c r="D15" s="3">
        <v>1.7018594390167063E-2</v>
      </c>
    </row>
    <row r="16" spans="1:4" x14ac:dyDescent="0.35">
      <c r="A16" s="5">
        <v>44561</v>
      </c>
      <c r="B16" s="3">
        <v>-0.12105064366984575</v>
      </c>
      <c r="C16" s="3">
        <v>4.8613248063363868E-2</v>
      </c>
      <c r="D16" s="3">
        <v>1.491753335434387E-2</v>
      </c>
    </row>
    <row r="17" spans="1:4" x14ac:dyDescent="0.35">
      <c r="A17" s="5">
        <v>44564</v>
      </c>
      <c r="B17" s="3">
        <v>-0.13768067465320766</v>
      </c>
      <c r="C17" s="3">
        <v>3.625088637063012E-2</v>
      </c>
      <c r="D17" s="3">
        <v>2.39520958083832E-2</v>
      </c>
    </row>
    <row r="18" spans="1:4" x14ac:dyDescent="0.35">
      <c r="A18" s="5">
        <v>44565</v>
      </c>
      <c r="B18" s="3">
        <v>-0.13543407444624977</v>
      </c>
      <c r="C18" s="3">
        <v>3.1467829763322408E-2</v>
      </c>
      <c r="D18" s="3">
        <v>2.7103687362117768E-2</v>
      </c>
    </row>
    <row r="19" spans="1:4" x14ac:dyDescent="0.35">
      <c r="A19" s="5">
        <v>44566</v>
      </c>
      <c r="B19" s="3">
        <v>-0.11083499142944875</v>
      </c>
      <c r="C19" s="3">
        <v>3.551503150796731E-2</v>
      </c>
      <c r="D19" s="3">
        <v>2.6263262947788579E-2</v>
      </c>
    </row>
    <row r="20" spans="1:4" x14ac:dyDescent="0.35">
      <c r="A20" s="5">
        <v>44567</v>
      </c>
      <c r="B20" s="3">
        <v>-0.11724051322249662</v>
      </c>
      <c r="C20" s="3">
        <v>2.5754920193195252E-2</v>
      </c>
      <c r="D20" s="3">
        <v>1.2186154007773897E-2</v>
      </c>
    </row>
    <row r="21" spans="1:4" x14ac:dyDescent="0.35">
      <c r="A21" s="5">
        <v>44568</v>
      </c>
      <c r="B21" s="3">
        <v>-0.1031643671996586</v>
      </c>
      <c r="C21" s="3">
        <v>3.2277270112251344E-2</v>
      </c>
      <c r="D21" s="3">
        <v>1.0295199075533112E-2</v>
      </c>
    </row>
    <row r="22" spans="1:4" x14ac:dyDescent="0.35">
      <c r="A22" s="5">
        <v>44571</v>
      </c>
      <c r="B22" s="3">
        <v>-8.509724680217623E-2</v>
      </c>
      <c r="C22" s="3">
        <v>3.7000120412614024E-2</v>
      </c>
      <c r="D22" s="3">
        <v>-2.0485345099275132E-2</v>
      </c>
    </row>
    <row r="23" spans="1:4" x14ac:dyDescent="0.35">
      <c r="A23" s="5">
        <v>44572</v>
      </c>
      <c r="B23" s="3">
        <v>-8.678616251609883E-2</v>
      </c>
      <c r="C23" s="3">
        <v>4.6445821013339161E-2</v>
      </c>
      <c r="D23" s="3">
        <v>-4.7694085513184103E-2</v>
      </c>
    </row>
    <row r="24" spans="1:4" x14ac:dyDescent="0.35">
      <c r="A24" s="5">
        <v>44573</v>
      </c>
      <c r="B24" s="3">
        <v>-8.9346470014878276E-2</v>
      </c>
      <c r="C24" s="3">
        <v>4.5716655740337009E-2</v>
      </c>
      <c r="D24" s="3">
        <v>-4.202122071646186E-2</v>
      </c>
    </row>
    <row r="25" spans="1:4" x14ac:dyDescent="0.35">
      <c r="A25" s="5">
        <v>44574</v>
      </c>
      <c r="B25" s="3">
        <v>-9.4837030433826408E-2</v>
      </c>
      <c r="C25" s="3">
        <v>4.9937786816156793E-2</v>
      </c>
      <c r="D25" s="3">
        <v>-6.5342998214098058E-2</v>
      </c>
    </row>
    <row r="26" spans="1:4" x14ac:dyDescent="0.35">
      <c r="A26" s="5">
        <v>44575</v>
      </c>
      <c r="B26" s="3">
        <v>-0.10310020107731921</v>
      </c>
      <c r="C26" s="3">
        <v>4.0451948677468152E-2</v>
      </c>
      <c r="D26" s="3">
        <v>-0.12658892740834116</v>
      </c>
    </row>
    <row r="27" spans="1:4" x14ac:dyDescent="0.35">
      <c r="A27" s="5">
        <v>44578</v>
      </c>
      <c r="B27" s="3">
        <v>-0.11058228781184032</v>
      </c>
      <c r="C27" s="3">
        <v>3.2150167908700622E-2</v>
      </c>
      <c r="D27" s="3">
        <v>-0.1222817522849039</v>
      </c>
    </row>
    <row r="28" spans="1:4" x14ac:dyDescent="0.35">
      <c r="A28" s="5">
        <v>44579</v>
      </c>
      <c r="B28" s="3">
        <v>-0.11060640382401477</v>
      </c>
      <c r="C28" s="3">
        <v>3.2150167908700622E-2</v>
      </c>
      <c r="D28" s="3">
        <v>-0.1222817522849039</v>
      </c>
    </row>
    <row r="29" spans="1:4" x14ac:dyDescent="0.35">
      <c r="A29" s="5">
        <v>44580</v>
      </c>
      <c r="B29" s="3">
        <v>-0.11859976567749986</v>
      </c>
      <c r="C29" s="3">
        <v>2.3727974526042583E-2</v>
      </c>
      <c r="D29" s="3">
        <v>-0.1571593654795671</v>
      </c>
    </row>
    <row r="30" spans="1:4" x14ac:dyDescent="0.35">
      <c r="A30" s="5">
        <v>44581</v>
      </c>
      <c r="B30" s="3">
        <v>-0.12437883914041437</v>
      </c>
      <c r="C30" s="3">
        <v>2.2002060393615519E-2</v>
      </c>
      <c r="D30" s="3">
        <v>-0.14119130160731164</v>
      </c>
    </row>
    <row r="31" spans="1:4" x14ac:dyDescent="0.35">
      <c r="A31" s="5">
        <v>44582</v>
      </c>
      <c r="B31" s="3">
        <v>-0.1253001804237186</v>
      </c>
      <c r="C31" s="3">
        <v>2.1540478707036126E-2</v>
      </c>
      <c r="D31" s="3">
        <v>-0.15505830444374402</v>
      </c>
    </row>
    <row r="32" spans="1:4" x14ac:dyDescent="0.35">
      <c r="A32" s="5">
        <v>44585</v>
      </c>
      <c r="B32" s="3">
        <v>-0.14092845249518537</v>
      </c>
      <c r="C32" s="3">
        <v>1.8061892083539588E-2</v>
      </c>
      <c r="D32" s="3">
        <v>-0.15778968379031411</v>
      </c>
    </row>
    <row r="33" spans="1:4" x14ac:dyDescent="0.35">
      <c r="A33" s="5">
        <v>44586</v>
      </c>
      <c r="B33" s="3">
        <v>-0.14405241442986716</v>
      </c>
      <c r="C33" s="3">
        <v>9.3988734731011991E-3</v>
      </c>
      <c r="D33" s="3">
        <v>-0.16829498896942952</v>
      </c>
    </row>
    <row r="34" spans="1:4" x14ac:dyDescent="0.35">
      <c r="A34" s="5">
        <v>44587</v>
      </c>
      <c r="B34" s="3">
        <v>-0.14156568823446791</v>
      </c>
      <c r="C34" s="3">
        <v>1.3981242390591841E-2</v>
      </c>
      <c r="D34" s="3">
        <v>-0.14822985607731909</v>
      </c>
    </row>
    <row r="35" spans="1:4" x14ac:dyDescent="0.35">
      <c r="A35" s="5">
        <v>44588</v>
      </c>
      <c r="B35" s="3">
        <v>-0.14391611510706637</v>
      </c>
      <c r="C35" s="3">
        <v>1.4135102952784973E-2</v>
      </c>
      <c r="D35" s="3">
        <v>-0.16073116924046638</v>
      </c>
    </row>
    <row r="36" spans="1:4" x14ac:dyDescent="0.35">
      <c r="A36" s="5">
        <v>44589</v>
      </c>
      <c r="B36" s="3">
        <v>-0.14871751742980766</v>
      </c>
      <c r="C36" s="3">
        <v>1.6831007585994762E-2</v>
      </c>
      <c r="D36" s="3">
        <v>-0.15558356970269993</v>
      </c>
    </row>
    <row r="37" spans="1:4" x14ac:dyDescent="0.35">
      <c r="A37" s="5">
        <v>44592</v>
      </c>
      <c r="B37" s="3">
        <v>-0.14687606579477908</v>
      </c>
      <c r="C37" s="3">
        <v>1.1646575599052911E-2</v>
      </c>
      <c r="D37" s="3">
        <v>-0.14056098329656475</v>
      </c>
    </row>
    <row r="38" spans="1:4" x14ac:dyDescent="0.35">
      <c r="A38" s="5">
        <v>44593</v>
      </c>
      <c r="B38" s="3">
        <v>-0.14689953971206315</v>
      </c>
      <c r="C38" s="3">
        <v>1.1646575599052911E-2</v>
      </c>
      <c r="D38" s="3">
        <v>-0.14056098329656475</v>
      </c>
    </row>
    <row r="39" spans="1:4" x14ac:dyDescent="0.35">
      <c r="A39" s="5">
        <v>44594</v>
      </c>
      <c r="B39" s="3">
        <v>-0.14692301362934745</v>
      </c>
      <c r="C39" s="3">
        <v>1.1646575599052911E-2</v>
      </c>
      <c r="D39" s="3">
        <v>-0.14056098329656475</v>
      </c>
    </row>
    <row r="40" spans="1:4" x14ac:dyDescent="0.35">
      <c r="A40" s="5">
        <v>44595</v>
      </c>
      <c r="B40" s="3">
        <v>-0.14039423573179866</v>
      </c>
      <c r="C40" s="3">
        <v>2.0650763282180407E-2</v>
      </c>
      <c r="D40" s="3">
        <v>-0.14171656686626743</v>
      </c>
    </row>
    <row r="41" spans="1:4" x14ac:dyDescent="0.35">
      <c r="A41" s="5">
        <v>44596</v>
      </c>
      <c r="B41" s="3">
        <v>-0.13985714037213126</v>
      </c>
      <c r="C41" s="3">
        <v>1.8663955152991019E-2</v>
      </c>
      <c r="D41" s="3">
        <v>-0.14392268095388172</v>
      </c>
    </row>
    <row r="42" spans="1:4" x14ac:dyDescent="0.35">
      <c r="A42" s="5">
        <v>44599</v>
      </c>
      <c r="B42" s="3">
        <v>-0.12834728920698901</v>
      </c>
      <c r="C42" s="3">
        <v>2.3942041395180969E-2</v>
      </c>
      <c r="D42" s="3">
        <v>-0.13373253493013981</v>
      </c>
    </row>
    <row r="43" spans="1:4" x14ac:dyDescent="0.35">
      <c r="A43" s="5">
        <v>44600</v>
      </c>
      <c r="B43" s="3">
        <v>-0.13451760562821247</v>
      </c>
      <c r="C43" s="3">
        <v>2.3567424374188795E-2</v>
      </c>
      <c r="D43" s="3">
        <v>-0.13131631473894312</v>
      </c>
    </row>
    <row r="44" spans="1:4" x14ac:dyDescent="0.35">
      <c r="A44" s="5">
        <v>44601</v>
      </c>
      <c r="B44" s="3">
        <v>-0.13358074845569146</v>
      </c>
      <c r="C44" s="3">
        <v>3.7896525427130401E-2</v>
      </c>
      <c r="D44" s="3">
        <v>-0.1225969114402774</v>
      </c>
    </row>
    <row r="45" spans="1:4" x14ac:dyDescent="0.35">
      <c r="A45" s="5">
        <v>44602</v>
      </c>
      <c r="B45" s="3">
        <v>-0.12833025214484617</v>
      </c>
      <c r="C45" s="3">
        <v>5.0332472606130274E-2</v>
      </c>
      <c r="D45" s="3">
        <v>-0.11104107574325028</v>
      </c>
    </row>
    <row r="46" spans="1:4" x14ac:dyDescent="0.35">
      <c r="A46" s="5">
        <v>44603</v>
      </c>
      <c r="B46" s="3">
        <v>-0.13081911318045425</v>
      </c>
      <c r="C46" s="3">
        <v>5.6212621917771655E-2</v>
      </c>
      <c r="D46" s="3">
        <v>-0.11881500157579583</v>
      </c>
    </row>
    <row r="47" spans="1:4" x14ac:dyDescent="0.35">
      <c r="A47" s="5">
        <v>44606</v>
      </c>
      <c r="B47" s="3">
        <v>-0.13511372155787416</v>
      </c>
      <c r="C47" s="3">
        <v>5.9523968799753746E-2</v>
      </c>
      <c r="D47" s="3">
        <v>-0.14108624855552043</v>
      </c>
    </row>
    <row r="48" spans="1:4" x14ac:dyDescent="0.35">
      <c r="A48" s="5">
        <v>44607</v>
      </c>
      <c r="B48" s="3">
        <v>-0.13231511223287973</v>
      </c>
      <c r="C48" s="3">
        <v>7.0073451694472988E-2</v>
      </c>
      <c r="D48" s="3">
        <v>-0.14171656686626743</v>
      </c>
    </row>
    <row r="49" spans="1:4" x14ac:dyDescent="0.35">
      <c r="A49" s="5">
        <v>44608</v>
      </c>
      <c r="B49" s="3">
        <v>-0.12927580909378045</v>
      </c>
      <c r="C49" s="3">
        <v>7.2475014382617831E-2</v>
      </c>
      <c r="D49" s="3">
        <v>-0.12932030675491124</v>
      </c>
    </row>
    <row r="50" spans="1:4" x14ac:dyDescent="0.35">
      <c r="A50" s="5">
        <v>44609</v>
      </c>
      <c r="B50" s="3">
        <v>-0.12950435946997485</v>
      </c>
      <c r="C50" s="3">
        <v>7.3692519700841563E-2</v>
      </c>
      <c r="D50" s="3">
        <v>-0.13383758798193079</v>
      </c>
    </row>
    <row r="51" spans="1:4" x14ac:dyDescent="0.35">
      <c r="A51" s="5">
        <v>44610</v>
      </c>
      <c r="B51" s="3">
        <v>-0.13083397529849372</v>
      </c>
      <c r="C51" s="3">
        <v>7.2374670537709296E-2</v>
      </c>
      <c r="D51" s="3">
        <v>-0.15190671289000934</v>
      </c>
    </row>
    <row r="52" spans="1:4" x14ac:dyDescent="0.35">
      <c r="A52" s="5">
        <v>44613</v>
      </c>
      <c r="B52" s="3">
        <v>-0.13804355251043776</v>
      </c>
      <c r="C52" s="3">
        <v>5.8754665988788313E-2</v>
      </c>
      <c r="D52" s="3">
        <v>-0.1830024162201912</v>
      </c>
    </row>
    <row r="53" spans="1:4" x14ac:dyDescent="0.35">
      <c r="A53" s="5">
        <v>44614</v>
      </c>
      <c r="B53" s="3">
        <v>-0.14136577962831542</v>
      </c>
      <c r="C53" s="3">
        <v>5.4921531113281574E-2</v>
      </c>
      <c r="D53" s="3">
        <v>-0.20958083832335328</v>
      </c>
    </row>
    <row r="54" spans="1:4" x14ac:dyDescent="0.35">
      <c r="A54" s="5">
        <v>44615</v>
      </c>
      <c r="B54" s="3">
        <v>-0.13517262629400661</v>
      </c>
      <c r="C54" s="3">
        <v>6.1062574421685056E-2</v>
      </c>
      <c r="D54" s="3">
        <v>-0.17669923311272184</v>
      </c>
    </row>
    <row r="55" spans="1:4" x14ac:dyDescent="0.35">
      <c r="A55" s="5">
        <v>44616</v>
      </c>
      <c r="B55" s="3">
        <v>-0.14101434491028131</v>
      </c>
      <c r="C55" s="3">
        <v>5.2867827087486496E-2</v>
      </c>
      <c r="D55" s="3">
        <v>-0.1952936232797563</v>
      </c>
    </row>
    <row r="56" spans="1:4" x14ac:dyDescent="0.35">
      <c r="A56" s="5">
        <v>44617</v>
      </c>
      <c r="B56" s="3">
        <v>-0.130525314481159</v>
      </c>
      <c r="C56" s="3">
        <v>6.479536545228326E-2</v>
      </c>
      <c r="D56" s="3">
        <v>-0.17669923311272184</v>
      </c>
    </row>
    <row r="57" spans="1:4" x14ac:dyDescent="0.35">
      <c r="A57" s="5">
        <v>44620</v>
      </c>
      <c r="B57" s="3">
        <v>-0.12517549572292697</v>
      </c>
      <c r="C57" s="3">
        <v>7.5873325930187585E-2</v>
      </c>
      <c r="D57" s="3">
        <v>-0.18594390167034358</v>
      </c>
    </row>
    <row r="58" spans="1:4" x14ac:dyDescent="0.35">
      <c r="A58" s="5">
        <v>44621</v>
      </c>
      <c r="B58" s="3">
        <v>-0.12658195957643104</v>
      </c>
      <c r="C58" s="3">
        <v>6.7952851772072442E-2</v>
      </c>
      <c r="D58" s="3">
        <v>-0.18688937913646386</v>
      </c>
    </row>
    <row r="59" spans="1:4" x14ac:dyDescent="0.35">
      <c r="A59" s="5">
        <v>44622</v>
      </c>
      <c r="B59" s="3">
        <v>-0.12950580943271039</v>
      </c>
      <c r="C59" s="3">
        <v>6.9063323655726983E-2</v>
      </c>
      <c r="D59" s="3">
        <v>-0.20380292047483972</v>
      </c>
    </row>
    <row r="60" spans="1:4" x14ac:dyDescent="0.35">
      <c r="A60" s="5">
        <v>44623</v>
      </c>
      <c r="B60" s="3">
        <v>-0.12386545439133823</v>
      </c>
      <c r="C60" s="3">
        <v>8.2736844921932562E-2</v>
      </c>
      <c r="D60" s="3">
        <v>-0.2196659312953041</v>
      </c>
    </row>
    <row r="61" spans="1:4" x14ac:dyDescent="0.35">
      <c r="A61" s="5">
        <v>44624</v>
      </c>
      <c r="B61" s="3">
        <v>-0.12351202597454281</v>
      </c>
      <c r="C61" s="3">
        <v>7.2970044017500069E-2</v>
      </c>
      <c r="D61" s="3">
        <v>-0.24676961865742197</v>
      </c>
    </row>
    <row r="62" spans="1:4" x14ac:dyDescent="0.35">
      <c r="A62" s="5">
        <v>44627</v>
      </c>
      <c r="B62" s="3">
        <v>-0.14879502619469853</v>
      </c>
      <c r="C62" s="3">
        <v>5.1978111662630555E-2</v>
      </c>
      <c r="D62" s="3">
        <v>-0.29498896942956188</v>
      </c>
    </row>
    <row r="63" spans="1:4" x14ac:dyDescent="0.35">
      <c r="A63" s="5">
        <v>44628</v>
      </c>
      <c r="B63" s="3">
        <v>-0.1675048015984838</v>
      </c>
      <c r="C63" s="3">
        <v>3.4792555824625815E-2</v>
      </c>
      <c r="D63" s="3">
        <v>-0.33743040235318833</v>
      </c>
    </row>
    <row r="64" spans="1:4" x14ac:dyDescent="0.35">
      <c r="A64" s="5">
        <v>44629</v>
      </c>
      <c r="B64" s="3">
        <v>-0.15054494997119094</v>
      </c>
      <c r="C64" s="3">
        <v>4.513466143986733E-2</v>
      </c>
      <c r="D64" s="3">
        <v>-0.28343313373253498</v>
      </c>
    </row>
    <row r="65" spans="1:4" x14ac:dyDescent="0.35">
      <c r="A65" s="5">
        <v>44630</v>
      </c>
      <c r="B65" s="3">
        <v>-0.12932619529884148</v>
      </c>
      <c r="C65" s="3">
        <v>5.7309714622105101E-2</v>
      </c>
      <c r="D65" s="3">
        <v>-0.26294778863325985</v>
      </c>
    </row>
    <row r="66" spans="1:4" x14ac:dyDescent="0.35">
      <c r="A66" s="5">
        <v>44631</v>
      </c>
      <c r="B66" s="3">
        <v>-0.12626169905721163</v>
      </c>
      <c r="C66" s="3">
        <v>4.9074829749943261E-2</v>
      </c>
      <c r="D66" s="3">
        <v>-0.24855552053787155</v>
      </c>
    </row>
    <row r="67" spans="1:4" x14ac:dyDescent="0.35">
      <c r="A67" s="5">
        <v>44634</v>
      </c>
      <c r="B67" s="3">
        <v>-0.12566286444742081</v>
      </c>
      <c r="C67" s="3">
        <v>4.8553041756418835E-2</v>
      </c>
      <c r="D67" s="3">
        <v>-0.26168715201176596</v>
      </c>
    </row>
    <row r="68" spans="1:4" x14ac:dyDescent="0.35">
      <c r="A68" s="5">
        <v>44635</v>
      </c>
      <c r="B68" s="3">
        <v>-0.13900832146561848</v>
      </c>
      <c r="C68" s="3">
        <v>4.1843383326866768E-2</v>
      </c>
      <c r="D68" s="3">
        <v>-0.28732009664880764</v>
      </c>
    </row>
    <row r="69" spans="1:4" x14ac:dyDescent="0.35">
      <c r="A69" s="5">
        <v>44636</v>
      </c>
      <c r="B69" s="3">
        <v>-0.11811617089945636</v>
      </c>
      <c r="C69" s="3">
        <v>5.1148602544719868E-2</v>
      </c>
      <c r="D69" s="3">
        <v>-0.25097174072906814</v>
      </c>
    </row>
    <row r="70" spans="1:4" x14ac:dyDescent="0.35">
      <c r="A70" s="5">
        <v>44637</v>
      </c>
      <c r="B70" s="3">
        <v>-9.9255780616513523E-2</v>
      </c>
      <c r="C70" s="3">
        <v>6.4233439920795332E-2</v>
      </c>
      <c r="D70" s="3">
        <v>-0.21535875617186684</v>
      </c>
    </row>
    <row r="71" spans="1:4" x14ac:dyDescent="0.35">
      <c r="A71" s="5">
        <v>44638</v>
      </c>
      <c r="B71" s="3">
        <v>-0.10453654489946396</v>
      </c>
      <c r="C71" s="3">
        <v>6.4487644327896998E-2</v>
      </c>
      <c r="D71" s="3">
        <v>-0.23353293413173659</v>
      </c>
    </row>
    <row r="72" spans="1:4" x14ac:dyDescent="0.35">
      <c r="A72" s="5">
        <v>44641</v>
      </c>
      <c r="B72" s="3">
        <v>-0.10065880080852052</v>
      </c>
      <c r="C72" s="3">
        <v>6.174491256706327E-2</v>
      </c>
      <c r="D72" s="3">
        <v>-0.20516861014812482</v>
      </c>
    </row>
    <row r="73" spans="1:4" x14ac:dyDescent="0.35">
      <c r="A73" s="5">
        <v>44642</v>
      </c>
      <c r="B73" s="3">
        <v>-0.10556184979885475</v>
      </c>
      <c r="C73" s="3">
        <v>6.0841817962886235E-2</v>
      </c>
      <c r="D73" s="3">
        <v>-0.1958188885387121</v>
      </c>
    </row>
    <row r="74" spans="1:4" x14ac:dyDescent="0.35">
      <c r="A74" s="5">
        <v>44643</v>
      </c>
      <c r="B74" s="3">
        <v>-9.4639099266454751E-2</v>
      </c>
      <c r="C74" s="3">
        <v>6.8916152683194509E-2</v>
      </c>
      <c r="D74" s="3">
        <v>-0.17207689883391108</v>
      </c>
    </row>
    <row r="75" spans="1:4" x14ac:dyDescent="0.35">
      <c r="A75" s="5">
        <v>44644</v>
      </c>
      <c r="B75" s="3">
        <v>-9.7001994789409962E-2</v>
      </c>
      <c r="C75" s="3">
        <v>6.9645317956196662E-2</v>
      </c>
      <c r="D75" s="3">
        <v>-0.17648912700913955</v>
      </c>
    </row>
    <row r="76" spans="1:4" x14ac:dyDescent="0.35">
      <c r="A76" s="5">
        <v>44645</v>
      </c>
      <c r="B76" s="3">
        <v>-9.5112512099618685E-2</v>
      </c>
      <c r="C76" s="3">
        <v>7.254191027922352E-2</v>
      </c>
      <c r="D76" s="3">
        <v>-0.16535350351927713</v>
      </c>
    </row>
    <row r="77" spans="1:4" x14ac:dyDescent="0.35">
      <c r="A77" s="5">
        <v>44648</v>
      </c>
      <c r="B77" s="3">
        <v>-0.10037062071482583</v>
      </c>
      <c r="C77" s="3">
        <v>6.8962979810818448E-2</v>
      </c>
      <c r="D77" s="3">
        <v>-0.18636411387750806</v>
      </c>
    </row>
    <row r="78" spans="1:4" x14ac:dyDescent="0.35">
      <c r="A78" s="5">
        <v>44649</v>
      </c>
      <c r="B78" s="3">
        <v>-0.10541576605324599</v>
      </c>
      <c r="C78" s="3">
        <v>5.9243006034009893E-2</v>
      </c>
      <c r="D78" s="3">
        <v>-0.19823510872990868</v>
      </c>
    </row>
    <row r="79" spans="1:4" x14ac:dyDescent="0.35">
      <c r="A79" s="5">
        <v>44650</v>
      </c>
      <c r="B79" s="3">
        <v>-9.8571941941349772E-2</v>
      </c>
      <c r="C79" s="3">
        <v>5.9109214240798513E-2</v>
      </c>
      <c r="D79" s="3">
        <v>-0.18793990965437546</v>
      </c>
    </row>
    <row r="80" spans="1:4" x14ac:dyDescent="0.35">
      <c r="A80" s="5">
        <v>44651</v>
      </c>
      <c r="B80" s="3">
        <v>-8.3226986310799389E-2</v>
      </c>
      <c r="C80" s="3">
        <v>6.187870436027465E-2</v>
      </c>
      <c r="D80" s="3">
        <v>-0.18699443218825507</v>
      </c>
    </row>
    <row r="81" spans="1:4" x14ac:dyDescent="0.35">
      <c r="A81" s="5">
        <v>44652</v>
      </c>
      <c r="B81" s="3">
        <v>-8.3520603764752566E-2</v>
      </c>
      <c r="C81" s="3">
        <v>7.1946536799432748E-2</v>
      </c>
      <c r="D81" s="3">
        <v>-0.18667927303288157</v>
      </c>
    </row>
    <row r="82" spans="1:4" x14ac:dyDescent="0.35">
      <c r="A82" s="5">
        <v>44655</v>
      </c>
      <c r="B82" s="3">
        <v>-7.7162154678588779E-2</v>
      </c>
      <c r="C82" s="3">
        <v>6.9611870007893817E-2</v>
      </c>
      <c r="D82" s="3">
        <v>-0.18657421998109036</v>
      </c>
    </row>
    <row r="83" spans="1:4" x14ac:dyDescent="0.35">
      <c r="A83" s="5">
        <v>44656</v>
      </c>
      <c r="B83" s="3">
        <v>-8.6122924384418931E-2</v>
      </c>
      <c r="C83" s="3">
        <v>6.8186987410192357E-2</v>
      </c>
      <c r="D83" s="3">
        <v>-0.1707112091606261</v>
      </c>
    </row>
    <row r="84" spans="1:4" x14ac:dyDescent="0.35">
      <c r="A84" s="5">
        <v>44657</v>
      </c>
      <c r="B84" s="3">
        <v>-8.5223766243022969E-2</v>
      </c>
      <c r="C84" s="3">
        <v>7.3491832011024494E-2</v>
      </c>
      <c r="D84" s="3">
        <v>-0.18100640823615932</v>
      </c>
    </row>
    <row r="85" spans="1:4" x14ac:dyDescent="0.35">
      <c r="A85" s="5">
        <v>44658</v>
      </c>
      <c r="B85" s="3">
        <v>-9.057385326045353E-2</v>
      </c>
      <c r="C85" s="3">
        <v>7.0862823274420395E-2</v>
      </c>
      <c r="D85" s="3">
        <v>-0.19781489652274398</v>
      </c>
    </row>
    <row r="86" spans="1:4" x14ac:dyDescent="0.35">
      <c r="A86" s="5">
        <v>44659</v>
      </c>
      <c r="B86" s="3">
        <v>-8.9903106919647646E-2</v>
      </c>
      <c r="C86" s="3">
        <v>7.5211056553791122E-2</v>
      </c>
      <c r="D86" s="3">
        <v>-0.1949784641243828</v>
      </c>
    </row>
    <row r="87" spans="1:4" x14ac:dyDescent="0.35">
      <c r="A87" s="5">
        <v>44662</v>
      </c>
      <c r="B87" s="3">
        <v>-9.9739161939656262E-2</v>
      </c>
      <c r="C87" s="3">
        <v>7.3418246524758146E-2</v>
      </c>
      <c r="D87" s="3">
        <v>-0.23363798718352768</v>
      </c>
    </row>
    <row r="88" spans="1:4" x14ac:dyDescent="0.35">
      <c r="A88" s="5">
        <v>44663</v>
      </c>
      <c r="B88" s="3">
        <v>-9.8766151959350235E-2</v>
      </c>
      <c r="C88" s="3">
        <v>6.8414433458651835E-2</v>
      </c>
      <c r="D88" s="3">
        <v>-0.24004622334278802</v>
      </c>
    </row>
    <row r="89" spans="1:4" x14ac:dyDescent="0.35">
      <c r="A89" s="5">
        <v>44664</v>
      </c>
      <c r="B89" s="3">
        <v>-0.10069602463518734</v>
      </c>
      <c r="C89" s="3">
        <v>6.844788140695468E-2</v>
      </c>
      <c r="D89" s="3">
        <v>-0.22975102426725502</v>
      </c>
    </row>
    <row r="90" spans="1:4" x14ac:dyDescent="0.35">
      <c r="A90" s="5">
        <v>44665</v>
      </c>
      <c r="B90" s="3">
        <v>-9.7545852662774268E-2</v>
      </c>
      <c r="C90" s="3">
        <v>6.7457822137190204E-2</v>
      </c>
      <c r="D90" s="3">
        <v>-0.23699968484084466</v>
      </c>
    </row>
    <row r="91" spans="1:4" x14ac:dyDescent="0.35">
      <c r="A91" s="5">
        <v>44666</v>
      </c>
      <c r="B91" s="3">
        <v>-9.7334849379705823E-2</v>
      </c>
      <c r="C91" s="3">
        <v>6.2982486654268754E-2</v>
      </c>
      <c r="D91" s="3">
        <v>-0.23899569282487654</v>
      </c>
    </row>
    <row r="92" spans="1:4" x14ac:dyDescent="0.35">
      <c r="A92" s="5">
        <v>44669</v>
      </c>
      <c r="B92" s="3">
        <v>-9.8243995941576623E-2</v>
      </c>
      <c r="C92" s="3">
        <v>5.7717779591399898E-2</v>
      </c>
      <c r="D92" s="3">
        <v>-0.24256749658577581</v>
      </c>
    </row>
    <row r="93" spans="1:4" x14ac:dyDescent="0.35">
      <c r="A93" s="5">
        <v>44670</v>
      </c>
      <c r="B93" s="3">
        <v>-9.8268917739967487E-2</v>
      </c>
      <c r="C93" s="3">
        <v>5.7717779591399898E-2</v>
      </c>
      <c r="D93" s="3">
        <v>-0.24256749658577581</v>
      </c>
    </row>
    <row r="94" spans="1:4" x14ac:dyDescent="0.35">
      <c r="A94" s="5">
        <v>44671</v>
      </c>
      <c r="B94" s="3">
        <v>-9.3777707587540893E-2</v>
      </c>
      <c r="C94" s="3">
        <v>6.615335215337903E-2</v>
      </c>
      <c r="D94" s="3">
        <v>-0.2325874566656162</v>
      </c>
    </row>
    <row r="95" spans="1:4" x14ac:dyDescent="0.35">
      <c r="A95" s="5">
        <v>44672</v>
      </c>
      <c r="B95" s="3">
        <v>-9.1161641085576339E-2</v>
      </c>
      <c r="C95" s="3">
        <v>6.9210494628259456E-2</v>
      </c>
      <c r="D95" s="3">
        <v>-0.22712469797247614</v>
      </c>
    </row>
    <row r="96" spans="1:4" x14ac:dyDescent="0.35">
      <c r="A96" s="5">
        <v>44673</v>
      </c>
      <c r="B96" s="3">
        <v>-9.73749770398884E-2</v>
      </c>
      <c r="C96" s="3">
        <v>7.1652194854367801E-2</v>
      </c>
      <c r="D96" s="3">
        <v>-0.24540392898413699</v>
      </c>
    </row>
    <row r="97" spans="1:4" x14ac:dyDescent="0.35">
      <c r="A97" s="5">
        <v>44676</v>
      </c>
      <c r="B97" s="3">
        <v>-9.8276301085351458E-2</v>
      </c>
      <c r="C97" s="3">
        <v>6.3631376851344124E-2</v>
      </c>
      <c r="D97" s="3">
        <v>-0.26567916797982971</v>
      </c>
    </row>
    <row r="98" spans="1:4" x14ac:dyDescent="0.35">
      <c r="A98" s="5">
        <v>44677</v>
      </c>
      <c r="B98" s="3">
        <v>-9.8487585320082394E-2</v>
      </c>
      <c r="C98" s="3">
        <v>6.8113401923926009E-2</v>
      </c>
      <c r="D98" s="3">
        <v>-0.25822040130265778</v>
      </c>
    </row>
    <row r="99" spans="1:4" x14ac:dyDescent="0.35">
      <c r="A99" s="5">
        <v>44678</v>
      </c>
      <c r="B99" s="3">
        <v>-0.10179511572994981</v>
      </c>
      <c r="C99" s="3">
        <v>6.0955540987115864E-2</v>
      </c>
      <c r="D99" s="3">
        <v>-0.26767517596386181</v>
      </c>
    </row>
    <row r="100" spans="1:4" x14ac:dyDescent="0.35">
      <c r="A100" s="5">
        <v>44679</v>
      </c>
      <c r="B100" s="3">
        <v>-9.8112270984000993E-2</v>
      </c>
      <c r="C100" s="3">
        <v>6.85348460725419E-2</v>
      </c>
      <c r="D100" s="3">
        <v>-0.25296774871310013</v>
      </c>
    </row>
    <row r="101" spans="1:4" x14ac:dyDescent="0.35">
      <c r="A101" s="5">
        <v>44680</v>
      </c>
      <c r="B101" s="3">
        <v>-0.10080226107544543</v>
      </c>
      <c r="C101" s="3">
        <v>7.0621998046640044E-2</v>
      </c>
      <c r="D101" s="3">
        <v>-0.25065658157369475</v>
      </c>
    </row>
    <row r="102" spans="1:4" x14ac:dyDescent="0.35">
      <c r="A102" s="5">
        <v>44683</v>
      </c>
      <c r="B102" s="3">
        <v>-0.10087644359168357</v>
      </c>
      <c r="C102" s="3">
        <v>7.0621998046640044E-2</v>
      </c>
      <c r="D102" s="3">
        <v>-0.25065658157369475</v>
      </c>
    </row>
    <row r="103" spans="1:4" x14ac:dyDescent="0.35">
      <c r="A103" s="5">
        <v>44684</v>
      </c>
      <c r="B103" s="3">
        <v>-0.10090117109709662</v>
      </c>
      <c r="C103" s="3">
        <v>7.0621998046640044E-2</v>
      </c>
      <c r="D103" s="3">
        <v>-0.25065658157369475</v>
      </c>
    </row>
    <row r="104" spans="1:4" x14ac:dyDescent="0.35">
      <c r="A104" s="5">
        <v>44685</v>
      </c>
      <c r="B104" s="3">
        <v>-0.10092589860250911</v>
      </c>
      <c r="C104" s="3">
        <v>7.0621998046640044E-2</v>
      </c>
      <c r="D104" s="3">
        <v>-0.25065658157369475</v>
      </c>
    </row>
    <row r="105" spans="1:4" x14ac:dyDescent="0.35">
      <c r="A105" s="5">
        <v>44686</v>
      </c>
      <c r="B105" s="3">
        <v>-0.10116372282996056</v>
      </c>
      <c r="C105" s="3">
        <v>5.8948664088944946E-2</v>
      </c>
      <c r="D105" s="3">
        <v>-0.2687257064817733</v>
      </c>
    </row>
    <row r="106" spans="1:4" x14ac:dyDescent="0.35">
      <c r="A106" s="5">
        <v>44687</v>
      </c>
      <c r="B106" s="3">
        <v>-0.11921027056299072</v>
      </c>
      <c r="C106" s="3">
        <v>4.6479268961642006E-2</v>
      </c>
      <c r="D106" s="3">
        <v>-0.28689988444164305</v>
      </c>
    </row>
    <row r="107" spans="1:4" x14ac:dyDescent="0.35">
      <c r="A107" s="5">
        <v>44690</v>
      </c>
      <c r="B107" s="3">
        <v>-0.12057620725313634</v>
      </c>
      <c r="C107" s="3">
        <v>3.6337851036217561E-2</v>
      </c>
      <c r="D107" s="3">
        <v>-0.29887593234583465</v>
      </c>
    </row>
    <row r="108" spans="1:4" x14ac:dyDescent="0.35">
      <c r="A108" s="5">
        <v>44691</v>
      </c>
      <c r="B108" s="3">
        <v>-0.11390362636108708</v>
      </c>
      <c r="C108" s="3">
        <v>3.9950229452925479E-2</v>
      </c>
      <c r="D108" s="3">
        <v>-0.29803550793150546</v>
      </c>
    </row>
    <row r="109" spans="1:4" x14ac:dyDescent="0.35">
      <c r="A109" s="5">
        <v>44692</v>
      </c>
      <c r="B109" s="3">
        <v>-0.11752105975340554</v>
      </c>
      <c r="C109" s="3">
        <v>4.0853324057102514E-2</v>
      </c>
      <c r="D109" s="3">
        <v>-0.30391847883181</v>
      </c>
    </row>
    <row r="110" spans="1:4" x14ac:dyDescent="0.35">
      <c r="A110" s="5">
        <v>44693</v>
      </c>
      <c r="B110" s="3">
        <v>-0.11852514186695495</v>
      </c>
      <c r="C110" s="3">
        <v>2.9394056968545579E-2</v>
      </c>
      <c r="D110" s="3">
        <v>-0.33480407605840945</v>
      </c>
    </row>
    <row r="111" spans="1:4" x14ac:dyDescent="0.35">
      <c r="A111" s="5">
        <v>44694</v>
      </c>
      <c r="B111" s="3">
        <v>-0.11722934891714454</v>
      </c>
      <c r="C111" s="3">
        <v>3.3146916768125534E-2</v>
      </c>
      <c r="D111" s="3">
        <v>-0.30990650278390586</v>
      </c>
    </row>
    <row r="112" spans="1:4" x14ac:dyDescent="0.35">
      <c r="A112" s="5">
        <v>44697</v>
      </c>
      <c r="B112" s="3">
        <v>-0.11730203707014997</v>
      </c>
      <c r="C112" s="3">
        <v>3.3146916768125534E-2</v>
      </c>
      <c r="D112" s="3">
        <v>-0.30990650278390586</v>
      </c>
    </row>
    <row r="113" spans="1:4" x14ac:dyDescent="0.35">
      <c r="A113" s="5">
        <v>44698</v>
      </c>
      <c r="B113" s="3">
        <v>-0.11217731694950295</v>
      </c>
      <c r="C113" s="3">
        <v>3.5949854835904294E-2</v>
      </c>
      <c r="D113" s="3">
        <v>-0.29540918163672658</v>
      </c>
    </row>
    <row r="114" spans="1:4" x14ac:dyDescent="0.35">
      <c r="A114" s="5">
        <v>44699</v>
      </c>
      <c r="B114" s="3">
        <v>-0.11536970944712854</v>
      </c>
      <c r="C114" s="3">
        <v>4.01709859117243E-2</v>
      </c>
      <c r="D114" s="3">
        <v>-0.29719508351717605</v>
      </c>
    </row>
    <row r="115" spans="1:4" x14ac:dyDescent="0.35">
      <c r="A115" s="5">
        <v>44700</v>
      </c>
      <c r="B115" s="3">
        <v>-0.11686844060189283</v>
      </c>
      <c r="C115" s="3">
        <v>3.6491711598410692E-2</v>
      </c>
      <c r="D115" s="3">
        <v>-0.30791049479987398</v>
      </c>
    </row>
    <row r="116" spans="1:4" x14ac:dyDescent="0.35">
      <c r="A116" s="5">
        <v>44701</v>
      </c>
      <c r="B116" s="3">
        <v>-0.11475459793012333</v>
      </c>
      <c r="C116" s="3">
        <v>3.6297713498254058E-2</v>
      </c>
      <c r="D116" s="3">
        <v>-0.30013656896732843</v>
      </c>
    </row>
    <row r="117" spans="1:4" x14ac:dyDescent="0.35">
      <c r="A117" s="5">
        <v>44704</v>
      </c>
      <c r="B117" s="3">
        <v>-0.11350746908274889</v>
      </c>
      <c r="C117" s="3">
        <v>3.1889273911938298E-2</v>
      </c>
      <c r="D117" s="3">
        <v>-0.3055993276604686</v>
      </c>
    </row>
    <row r="118" spans="1:4" x14ac:dyDescent="0.35">
      <c r="A118" s="5">
        <v>44705</v>
      </c>
      <c r="B118" s="3">
        <v>-0.11617954581846557</v>
      </c>
      <c r="C118" s="3">
        <v>2.4376864723117952E-2</v>
      </c>
      <c r="D118" s="3">
        <v>-0.31337325349301393</v>
      </c>
    </row>
    <row r="119" spans="1:4" x14ac:dyDescent="0.35">
      <c r="A119" s="5">
        <v>44706</v>
      </c>
      <c r="B119" s="3">
        <v>-0.11698411195648706</v>
      </c>
      <c r="C119" s="3">
        <v>2.7226629918520873E-2</v>
      </c>
      <c r="D119" s="3">
        <v>-0.31305809433764054</v>
      </c>
    </row>
    <row r="120" spans="1:4" x14ac:dyDescent="0.35">
      <c r="A120" s="5">
        <v>44707</v>
      </c>
      <c r="B120" s="3">
        <v>-0.1140184079360308</v>
      </c>
      <c r="C120" s="3">
        <v>3.0966110538779734E-2</v>
      </c>
      <c r="D120" s="3">
        <v>-0.29687992436180266</v>
      </c>
    </row>
    <row r="121" spans="1:4" x14ac:dyDescent="0.35">
      <c r="A121" s="5">
        <v>44708</v>
      </c>
      <c r="B121" s="3">
        <v>-0.11920527574305173</v>
      </c>
      <c r="C121" s="3">
        <v>3.4718970338359467E-2</v>
      </c>
      <c r="D121" s="3">
        <v>-0.30192247084777812</v>
      </c>
    </row>
    <row r="122" spans="1:4" x14ac:dyDescent="0.35">
      <c r="A122" s="5">
        <v>44711</v>
      </c>
      <c r="B122" s="3">
        <v>-0.11730675974675786</v>
      </c>
      <c r="C122" s="3">
        <v>3.2217063805306312E-2</v>
      </c>
      <c r="D122" s="3">
        <v>-0.29068179430612462</v>
      </c>
    </row>
    <row r="123" spans="1:4" x14ac:dyDescent="0.35">
      <c r="A123" s="5">
        <v>44712</v>
      </c>
      <c r="B123" s="3">
        <v>-0.11291357538818381</v>
      </c>
      <c r="C123" s="3">
        <v>5.0332472606130274E-2</v>
      </c>
      <c r="D123" s="3">
        <v>-0.2791259586090975</v>
      </c>
    </row>
    <row r="124" spans="1:4" x14ac:dyDescent="0.35">
      <c r="A124" s="5">
        <v>44713</v>
      </c>
      <c r="B124" s="3">
        <v>-0.11173886091546092</v>
      </c>
      <c r="C124" s="3">
        <v>3.916754746263873E-2</v>
      </c>
      <c r="D124" s="3">
        <v>-0.28563924782014916</v>
      </c>
    </row>
    <row r="125" spans="1:4" x14ac:dyDescent="0.35">
      <c r="A125" s="5">
        <v>44714</v>
      </c>
      <c r="B125" s="3">
        <v>-0.11661108894906769</v>
      </c>
      <c r="C125" s="3">
        <v>3.6819501491778706E-2</v>
      </c>
      <c r="D125" s="3">
        <v>-0.27954617081626221</v>
      </c>
    </row>
    <row r="126" spans="1:4" x14ac:dyDescent="0.35">
      <c r="A126" s="5">
        <v>44715</v>
      </c>
      <c r="B126" s="3">
        <v>-0.11465815950490232</v>
      </c>
      <c r="C126" s="3">
        <v>2.874516677147021E-2</v>
      </c>
      <c r="D126" s="3">
        <v>-0.26767517596386181</v>
      </c>
    </row>
    <row r="127" spans="1:4" x14ac:dyDescent="0.35">
      <c r="A127" s="5">
        <v>44718</v>
      </c>
      <c r="B127" s="3">
        <v>-0.11473105299167341</v>
      </c>
      <c r="C127" s="3">
        <v>2.874516677147021E-2</v>
      </c>
      <c r="D127" s="3">
        <v>-0.26767517596386181</v>
      </c>
    </row>
    <row r="128" spans="1:4" x14ac:dyDescent="0.35">
      <c r="A128" s="5">
        <v>44719</v>
      </c>
      <c r="B128" s="3">
        <v>-0.1179076347893514</v>
      </c>
      <c r="C128" s="3">
        <v>2.0784555075391786E-2</v>
      </c>
      <c r="D128" s="3">
        <v>-0.27691984452148333</v>
      </c>
    </row>
    <row r="129" spans="1:4" x14ac:dyDescent="0.35">
      <c r="A129" s="5">
        <v>44720</v>
      </c>
      <c r="B129" s="3">
        <v>-0.12164744710593878</v>
      </c>
      <c r="C129" s="3">
        <v>1.9399810015653607E-2</v>
      </c>
      <c r="D129" s="3">
        <v>-0.27523899569282495</v>
      </c>
    </row>
    <row r="130" spans="1:4" x14ac:dyDescent="0.35">
      <c r="A130" s="5">
        <v>44721</v>
      </c>
      <c r="B130" s="3">
        <v>-0.11872849073943992</v>
      </c>
      <c r="C130" s="3">
        <v>9.9340406459469399E-3</v>
      </c>
      <c r="D130" s="3">
        <v>-0.27965122386805341</v>
      </c>
    </row>
    <row r="131" spans="1:4" x14ac:dyDescent="0.35">
      <c r="A131" s="5">
        <v>44722</v>
      </c>
      <c r="B131" s="3">
        <v>-0.12687996745350061</v>
      </c>
      <c r="C131" s="3">
        <v>-6.0875265911175536E-4</v>
      </c>
      <c r="D131" s="3">
        <v>-0.28816052106313683</v>
      </c>
    </row>
    <row r="132" spans="1:4" x14ac:dyDescent="0.35">
      <c r="A132" s="5">
        <v>44725</v>
      </c>
      <c r="B132" s="3">
        <v>-0.14091822633676077</v>
      </c>
      <c r="C132" s="3">
        <v>-2.0088837750692368E-2</v>
      </c>
      <c r="D132" s="3">
        <v>-0.3285008929509402</v>
      </c>
    </row>
    <row r="133" spans="1:4" x14ac:dyDescent="0.35">
      <c r="A133" s="5">
        <v>44726</v>
      </c>
      <c r="B133" s="3">
        <v>-0.1364461938122149</v>
      </c>
      <c r="C133" s="3">
        <v>-9.0844627590542792E-3</v>
      </c>
      <c r="D133" s="3">
        <v>-0.32345834646496474</v>
      </c>
    </row>
    <row r="134" spans="1:4" x14ac:dyDescent="0.35">
      <c r="A134" s="5">
        <v>44727</v>
      </c>
      <c r="B134" s="3">
        <v>-0.1413119196099123</v>
      </c>
      <c r="C134" s="3">
        <v>-2.3955420574501951E-2</v>
      </c>
      <c r="D134" s="3">
        <v>-0.33595965962811214</v>
      </c>
    </row>
    <row r="135" spans="1:4" x14ac:dyDescent="0.35">
      <c r="A135" s="5">
        <v>44728</v>
      </c>
      <c r="B135" s="3">
        <v>-0.13809926751408563</v>
      </c>
      <c r="C135" s="3">
        <v>-1.4777303560199573E-2</v>
      </c>
      <c r="D135" s="3">
        <v>-0.33354343943691567</v>
      </c>
    </row>
    <row r="136" spans="1:4" x14ac:dyDescent="0.35">
      <c r="A136" s="5">
        <v>44729</v>
      </c>
      <c r="B136" s="3">
        <v>-0.1392687801980812</v>
      </c>
      <c r="C136" s="3">
        <v>-2.5500715786093586E-2</v>
      </c>
      <c r="D136" s="3">
        <v>-0.33816577371572643</v>
      </c>
    </row>
    <row r="137" spans="1:4" x14ac:dyDescent="0.35">
      <c r="A137" s="5">
        <v>44732</v>
      </c>
      <c r="B137" s="3">
        <v>-0.14369502329290906</v>
      </c>
      <c r="C137" s="3">
        <v>-3.5869579759977399E-2</v>
      </c>
      <c r="D137" s="3">
        <v>-0.35507931505410228</v>
      </c>
    </row>
    <row r="138" spans="1:4" x14ac:dyDescent="0.35">
      <c r="A138" s="5">
        <v>44733</v>
      </c>
      <c r="B138" s="3">
        <v>-0.14247369805540555</v>
      </c>
      <c r="C138" s="3">
        <v>-2.4738102564788589E-2</v>
      </c>
      <c r="D138" s="3">
        <v>-0.34205273663199909</v>
      </c>
    </row>
    <row r="139" spans="1:4" x14ac:dyDescent="0.35">
      <c r="A139" s="5">
        <v>44734</v>
      </c>
      <c r="B139" s="3">
        <v>-0.14678878713848109</v>
      </c>
      <c r="C139" s="3">
        <v>-4.2652823675795704E-2</v>
      </c>
      <c r="D139" s="3">
        <v>-0.35612984557201388</v>
      </c>
    </row>
    <row r="140" spans="1:4" x14ac:dyDescent="0.35">
      <c r="A140" s="5">
        <v>44735</v>
      </c>
      <c r="B140" s="3">
        <v>-0.14882460297934086</v>
      </c>
      <c r="C140" s="3">
        <v>-4.2686271624098548E-2</v>
      </c>
      <c r="D140" s="3">
        <v>-0.35728542914171657</v>
      </c>
    </row>
    <row r="141" spans="1:4" x14ac:dyDescent="0.35">
      <c r="A141" s="5">
        <v>44736</v>
      </c>
      <c r="B141" s="3">
        <v>-0.14996098848249417</v>
      </c>
      <c r="C141" s="3">
        <v>-3.8906653465876295E-2</v>
      </c>
      <c r="D141" s="3">
        <v>-0.34215778968379029</v>
      </c>
    </row>
    <row r="142" spans="1:4" x14ac:dyDescent="0.35">
      <c r="A142" s="5">
        <v>44739</v>
      </c>
      <c r="B142" s="3">
        <v>-0.15143726981222461</v>
      </c>
      <c r="C142" s="3">
        <v>-3.7956731734075433E-2</v>
      </c>
      <c r="D142" s="3">
        <v>-0.32356339951675595</v>
      </c>
    </row>
    <row r="143" spans="1:4" x14ac:dyDescent="0.35">
      <c r="A143" s="5">
        <v>44740</v>
      </c>
      <c r="B143" s="3">
        <v>-0.14984538557248828</v>
      </c>
      <c r="C143" s="3">
        <v>-2.6838633718207605E-2</v>
      </c>
      <c r="D143" s="3">
        <v>-0.33165248450467488</v>
      </c>
    </row>
    <row r="144" spans="1:4" x14ac:dyDescent="0.35">
      <c r="A144" s="5">
        <v>44741</v>
      </c>
      <c r="B144" s="3">
        <v>-0.14907839551356317</v>
      </c>
      <c r="C144" s="3">
        <v>-2.9019439947553516E-2</v>
      </c>
      <c r="D144" s="3">
        <v>-0.34163252442483449</v>
      </c>
    </row>
    <row r="145" spans="1:4" x14ac:dyDescent="0.35">
      <c r="A145" s="5">
        <v>44742</v>
      </c>
      <c r="B145" s="3">
        <v>-0.14772291888256583</v>
      </c>
      <c r="C145" s="3">
        <v>-3.3876082041127464E-2</v>
      </c>
      <c r="D145" s="3">
        <v>-0.34299821409811959</v>
      </c>
    </row>
    <row r="146" spans="1:4" x14ac:dyDescent="0.35">
      <c r="A146" s="5">
        <v>44743</v>
      </c>
      <c r="B146" s="3">
        <v>-0.1487566375029431</v>
      </c>
      <c r="C146" s="3">
        <v>-3.0183428548492763E-2</v>
      </c>
      <c r="D146" s="3">
        <v>-0.34961655636096234</v>
      </c>
    </row>
    <row r="147" spans="1:4" x14ac:dyDescent="0.35">
      <c r="A147" s="5">
        <v>44746</v>
      </c>
      <c r="B147" s="3">
        <v>-0.14956626854051469</v>
      </c>
      <c r="C147" s="3">
        <v>-3.8358107113709572E-2</v>
      </c>
      <c r="D147" s="3">
        <v>-0.36358861224918582</v>
      </c>
    </row>
    <row r="148" spans="1:4" x14ac:dyDescent="0.35">
      <c r="A148" s="5">
        <v>44747</v>
      </c>
      <c r="B148" s="3">
        <v>-0.14793386510437612</v>
      </c>
      <c r="C148" s="3">
        <v>-3.6157232115382021E-2</v>
      </c>
      <c r="D148" s="3">
        <v>-0.36789578737262318</v>
      </c>
    </row>
    <row r="149" spans="1:4" x14ac:dyDescent="0.35">
      <c r="A149" s="5">
        <v>44748</v>
      </c>
      <c r="B149" s="3">
        <v>-0.14877669176737862</v>
      </c>
      <c r="C149" s="3">
        <v>-4.9509653077880245E-2</v>
      </c>
      <c r="D149" s="3">
        <v>-0.37461918268725702</v>
      </c>
    </row>
    <row r="150" spans="1:4" x14ac:dyDescent="0.35">
      <c r="A150" s="5">
        <v>44749</v>
      </c>
      <c r="B150" s="3">
        <v>-0.1486632790842054</v>
      </c>
      <c r="C150" s="3">
        <v>-5.0954604444563234E-2</v>
      </c>
      <c r="D150" s="3">
        <v>-0.37619497846412431</v>
      </c>
    </row>
    <row r="151" spans="1:4" x14ac:dyDescent="0.35">
      <c r="A151" s="5">
        <v>44750</v>
      </c>
      <c r="B151" s="3">
        <v>-0.14868675557806676</v>
      </c>
      <c r="C151" s="3">
        <v>-4.6204995785558478E-2</v>
      </c>
      <c r="D151" s="3">
        <v>-0.37020695451202856</v>
      </c>
    </row>
    <row r="152" spans="1:4" x14ac:dyDescent="0.35">
      <c r="A152" s="5">
        <v>44753</v>
      </c>
      <c r="B152" s="3">
        <v>-0.14875718505965119</v>
      </c>
      <c r="C152" s="3">
        <v>-4.6204995785558478E-2</v>
      </c>
      <c r="D152" s="3">
        <v>-0.37020695451202856</v>
      </c>
    </row>
    <row r="153" spans="1:4" x14ac:dyDescent="0.35">
      <c r="A153" s="5">
        <v>44754</v>
      </c>
      <c r="B153" s="3">
        <v>-0.1487530099397516</v>
      </c>
      <c r="C153" s="3">
        <v>-4.6010997685401955E-2</v>
      </c>
      <c r="D153" s="3">
        <v>-0.39037714045593019</v>
      </c>
    </row>
    <row r="154" spans="1:4" x14ac:dyDescent="0.35">
      <c r="A154" s="5">
        <v>44755</v>
      </c>
      <c r="B154" s="3">
        <v>-0.14950193062730832</v>
      </c>
      <c r="C154" s="3">
        <v>-5.5884832024403641E-2</v>
      </c>
      <c r="D154" s="3">
        <v>-0.39773085408131104</v>
      </c>
    </row>
    <row r="155" spans="1:4" x14ac:dyDescent="0.35">
      <c r="A155" s="5">
        <v>44756</v>
      </c>
      <c r="B155" s="3">
        <v>-0.14926182701078961</v>
      </c>
      <c r="C155" s="3">
        <v>-5.0038130661065217E-2</v>
      </c>
      <c r="D155" s="3">
        <v>-0.39531463389011445</v>
      </c>
    </row>
    <row r="156" spans="1:4" x14ac:dyDescent="0.35">
      <c r="A156" s="5">
        <v>44757</v>
      </c>
      <c r="B156" s="3">
        <v>-0.14977461386796154</v>
      </c>
      <c r="C156" s="3">
        <v>-5.112184418607757E-2</v>
      </c>
      <c r="D156" s="3">
        <v>-0.38302342683054946</v>
      </c>
    </row>
    <row r="157" spans="1:4" x14ac:dyDescent="0.35">
      <c r="A157" s="5">
        <v>44760</v>
      </c>
      <c r="B157" s="3">
        <v>-0.15059772848947095</v>
      </c>
      <c r="C157" s="3">
        <v>-4.3696399662844665E-2</v>
      </c>
      <c r="D157" s="3">
        <v>-0.36768568126904089</v>
      </c>
    </row>
    <row r="158" spans="1:4" x14ac:dyDescent="0.35">
      <c r="A158" s="5">
        <v>44761</v>
      </c>
      <c r="B158" s="3">
        <v>-0.15144247160095192</v>
      </c>
      <c r="C158" s="3">
        <v>-4.421818765636909E-2</v>
      </c>
      <c r="D158" s="3">
        <v>-0.36968168925307276</v>
      </c>
    </row>
    <row r="159" spans="1:4" x14ac:dyDescent="0.35">
      <c r="A159" s="5">
        <v>44762</v>
      </c>
      <c r="B159" s="3">
        <v>-0.15009698787987813</v>
      </c>
      <c r="C159" s="3">
        <v>-3.8719344955380319E-2</v>
      </c>
      <c r="D159" s="3">
        <v>-0.35655005777917848</v>
      </c>
    </row>
    <row r="160" spans="1:4" x14ac:dyDescent="0.35">
      <c r="A160" s="5">
        <v>44763</v>
      </c>
      <c r="B160" s="3">
        <v>-0.14909372710139102</v>
      </c>
      <c r="C160" s="3">
        <v>-2.9795432348179718E-2</v>
      </c>
      <c r="D160" s="3">
        <v>-0.34520432818573377</v>
      </c>
    </row>
    <row r="161" spans="1:4" x14ac:dyDescent="0.35">
      <c r="A161" s="5">
        <v>44764</v>
      </c>
      <c r="B161" s="3">
        <v>-0.1442124643821</v>
      </c>
      <c r="C161" s="3">
        <v>-1.9439947553616999E-2</v>
      </c>
      <c r="D161" s="3">
        <v>-0.34037188780334071</v>
      </c>
    </row>
    <row r="162" spans="1:4" x14ac:dyDescent="0.35">
      <c r="A162" s="5">
        <v>44767</v>
      </c>
      <c r="B162" s="3">
        <v>-0.14483086123935418</v>
      </c>
      <c r="C162" s="3">
        <v>-1.7152107889702006E-2</v>
      </c>
      <c r="D162" s="3">
        <v>-0.3529782540182792</v>
      </c>
    </row>
    <row r="163" spans="1:4" x14ac:dyDescent="0.35">
      <c r="A163" s="5">
        <v>44768</v>
      </c>
      <c r="B163" s="3">
        <v>-0.1447859615892868</v>
      </c>
      <c r="C163" s="3">
        <v>-2.0851450971997254E-2</v>
      </c>
      <c r="D163" s="3">
        <v>-0.34961655636096234</v>
      </c>
    </row>
    <row r="164" spans="1:4" x14ac:dyDescent="0.35">
      <c r="A164" s="5">
        <v>44769</v>
      </c>
      <c r="B164" s="3">
        <v>-0.1450148402932887</v>
      </c>
      <c r="C164" s="3">
        <v>-1.6155359030276983E-2</v>
      </c>
      <c r="D164" s="3">
        <v>-0.33333333333333326</v>
      </c>
    </row>
    <row r="165" spans="1:4" x14ac:dyDescent="0.35">
      <c r="A165" s="5">
        <v>44770</v>
      </c>
      <c r="B165" s="3">
        <v>-0.14154771121735443</v>
      </c>
      <c r="C165" s="3">
        <v>-2.4483898157685591E-3</v>
      </c>
      <c r="D165" s="3">
        <v>-0.31305809433764054</v>
      </c>
    </row>
    <row r="166" spans="1:4" x14ac:dyDescent="0.35">
      <c r="A166" s="5">
        <v>44771</v>
      </c>
      <c r="B166" s="3">
        <v>-0.14400123884741656</v>
      </c>
      <c r="C166" s="3">
        <v>-1.7593620807299093E-3</v>
      </c>
      <c r="D166" s="3">
        <v>-0.30223763000315151</v>
      </c>
    </row>
    <row r="167" spans="1:4" x14ac:dyDescent="0.35">
      <c r="A167" s="5">
        <v>44774</v>
      </c>
      <c r="B167" s="3">
        <v>-0.14327697394448791</v>
      </c>
      <c r="C167" s="3">
        <v>4.8231941452712146E-3</v>
      </c>
      <c r="D167" s="3">
        <v>-0.29929614455299924</v>
      </c>
    </row>
    <row r="168" spans="1:4" x14ac:dyDescent="0.35">
      <c r="A168" s="5">
        <v>44775</v>
      </c>
      <c r="B168" s="3">
        <v>-0.14770899612545663</v>
      </c>
      <c r="C168" s="3">
        <v>1.2710220355094393E-4</v>
      </c>
      <c r="D168" s="3">
        <v>-0.31946633049690087</v>
      </c>
    </row>
    <row r="169" spans="1:4" x14ac:dyDescent="0.35">
      <c r="A169" s="5">
        <v>44776</v>
      </c>
      <c r="B169" s="3">
        <v>-0.14703827441029538</v>
      </c>
      <c r="C169" s="3">
        <v>-2.8698339643845605E-3</v>
      </c>
      <c r="D169" s="3">
        <v>-0.31242777602689353</v>
      </c>
    </row>
    <row r="170" spans="1:4" x14ac:dyDescent="0.35">
      <c r="A170" s="5">
        <v>44777</v>
      </c>
      <c r="B170" s="3">
        <v>-0.1443677102930272</v>
      </c>
      <c r="C170" s="3">
        <v>8.596122713832921E-3</v>
      </c>
      <c r="D170" s="3">
        <v>-0.2916272717722449</v>
      </c>
    </row>
    <row r="171" spans="1:4" x14ac:dyDescent="0.35">
      <c r="A171" s="5">
        <v>44778</v>
      </c>
      <c r="B171" s="3">
        <v>-0.15509214178520414</v>
      </c>
      <c r="C171" s="3">
        <v>4.4753354829214498E-3</v>
      </c>
      <c r="D171" s="3">
        <v>-0.2914171656686626</v>
      </c>
    </row>
    <row r="172" spans="1:4" x14ac:dyDescent="0.35">
      <c r="A172" s="5">
        <v>44781</v>
      </c>
      <c r="B172" s="3">
        <v>-0.15655065127759815</v>
      </c>
      <c r="C172" s="3">
        <v>7.8268199028674879E-4</v>
      </c>
      <c r="D172" s="3">
        <v>-0.29971635676016395</v>
      </c>
    </row>
    <row r="173" spans="1:4" x14ac:dyDescent="0.35">
      <c r="A173" s="5">
        <v>44782</v>
      </c>
      <c r="B173" s="3">
        <v>-0.15762811030404922</v>
      </c>
      <c r="C173" s="3">
        <v>1.8864642842808532E-3</v>
      </c>
      <c r="D173" s="3">
        <v>-0.30244773610673381</v>
      </c>
    </row>
    <row r="174" spans="1:4" x14ac:dyDescent="0.35">
      <c r="A174" s="5">
        <v>44783</v>
      </c>
      <c r="B174" s="3">
        <v>-0.16262255290628291</v>
      </c>
      <c r="C174" s="3">
        <v>-1.6924661841242195E-3</v>
      </c>
      <c r="D174" s="3">
        <v>-0.32293308120600894</v>
      </c>
    </row>
    <row r="175" spans="1:4" x14ac:dyDescent="0.35">
      <c r="A175" s="5">
        <v>44784</v>
      </c>
      <c r="B175" s="3">
        <v>-0.15141059203180862</v>
      </c>
      <c r="C175" s="3">
        <v>7.1578609368101453E-3</v>
      </c>
      <c r="D175" s="3">
        <v>-0.29414854501523269</v>
      </c>
    </row>
    <row r="176" spans="1:4" x14ac:dyDescent="0.35">
      <c r="A176" s="5">
        <v>44785</v>
      </c>
      <c r="B176" s="3">
        <v>-0.16101183149923093</v>
      </c>
      <c r="C176" s="3">
        <v>7.5793050854262578E-3</v>
      </c>
      <c r="D176" s="3">
        <v>-0.29603949994747336</v>
      </c>
    </row>
    <row r="177" spans="1:4" x14ac:dyDescent="0.35">
      <c r="A177" s="5">
        <v>44788</v>
      </c>
      <c r="B177" s="3">
        <v>-0.16362451343458528</v>
      </c>
      <c r="C177" s="3">
        <v>6.1209745394217308E-3</v>
      </c>
      <c r="D177" s="3">
        <v>-0.29582939384389118</v>
      </c>
    </row>
    <row r="178" spans="1:4" x14ac:dyDescent="0.35">
      <c r="A178" s="5">
        <v>44789</v>
      </c>
      <c r="B178" s="3">
        <v>-0.16173852623888152</v>
      </c>
      <c r="C178" s="3">
        <v>1.6001498468084074E-2</v>
      </c>
      <c r="D178" s="3">
        <v>-0.29372833280806798</v>
      </c>
    </row>
    <row r="179" spans="1:4" x14ac:dyDescent="0.35">
      <c r="A179" s="5">
        <v>44790</v>
      </c>
      <c r="B179" s="3">
        <v>-0.15898482699376681</v>
      </c>
      <c r="C179" s="3">
        <v>1.5586743909128842E-2</v>
      </c>
      <c r="D179" s="3">
        <v>-0.30034667507091084</v>
      </c>
    </row>
    <row r="180" spans="1:4" x14ac:dyDescent="0.35">
      <c r="A180" s="5">
        <v>44791</v>
      </c>
      <c r="B180" s="3">
        <v>-0.15920620247511963</v>
      </c>
      <c r="C180" s="3">
        <v>1.4556547101400863E-2</v>
      </c>
      <c r="D180" s="3">
        <v>-0.30223763000315151</v>
      </c>
    </row>
    <row r="181" spans="1:4" x14ac:dyDescent="0.35">
      <c r="A181" s="5">
        <v>44792</v>
      </c>
      <c r="B181" s="3">
        <v>-0.15827488077152174</v>
      </c>
      <c r="C181" s="3">
        <v>6.4086268948264635E-3</v>
      </c>
      <c r="D181" s="3">
        <v>-0.29719508351717605</v>
      </c>
    </row>
    <row r="182" spans="1:4" x14ac:dyDescent="0.35">
      <c r="A182" s="5">
        <v>44795</v>
      </c>
      <c r="B182" s="3">
        <v>-0.16849815843978155</v>
      </c>
      <c r="C182" s="3">
        <v>-5.0105026557670795E-3</v>
      </c>
      <c r="D182" s="3">
        <v>-0.32240781594705326</v>
      </c>
    </row>
    <row r="183" spans="1:4" x14ac:dyDescent="0.35">
      <c r="A183" s="5">
        <v>44796</v>
      </c>
      <c r="B183" s="3">
        <v>-0.16808734247399404</v>
      </c>
      <c r="C183" s="3">
        <v>-8.2215056928407471E-3</v>
      </c>
      <c r="D183" s="3">
        <v>-0.32356339951675595</v>
      </c>
    </row>
    <row r="184" spans="1:4" x14ac:dyDescent="0.35">
      <c r="A184" s="5">
        <v>44797</v>
      </c>
      <c r="B184" s="3">
        <v>-0.17088738217659283</v>
      </c>
      <c r="C184" s="3">
        <v>-1.8463267463173727E-2</v>
      </c>
      <c r="D184" s="3">
        <v>-0.3292362643134783</v>
      </c>
    </row>
    <row r="185" spans="1:4" x14ac:dyDescent="0.35">
      <c r="A185" s="5">
        <v>44798</v>
      </c>
      <c r="B185" s="3">
        <v>-0.16891444153819379</v>
      </c>
      <c r="C185" s="3">
        <v>4.2144414861589041E-4</v>
      </c>
      <c r="D185" s="3">
        <v>-0.31705011030570429</v>
      </c>
    </row>
    <row r="186" spans="1:4" x14ac:dyDescent="0.35">
      <c r="A186" s="5">
        <v>44799</v>
      </c>
      <c r="B186" s="3">
        <v>-0.16407776476312552</v>
      </c>
      <c r="C186" s="3">
        <v>3.632447185689669E-3</v>
      </c>
      <c r="D186" s="3">
        <v>-0.31368841264838743</v>
      </c>
    </row>
    <row r="187" spans="1:4" x14ac:dyDescent="0.35">
      <c r="A187" s="5">
        <v>44802</v>
      </c>
      <c r="B187" s="3">
        <v>-0.17282526374228868</v>
      </c>
      <c r="C187" s="3">
        <v>4.4887146622425433E-3</v>
      </c>
      <c r="D187" s="3">
        <v>-0.33364849248870676</v>
      </c>
    </row>
    <row r="188" spans="1:4" x14ac:dyDescent="0.35">
      <c r="A188" s="5">
        <v>44803</v>
      </c>
      <c r="B188" s="3">
        <v>-0.17441021152411063</v>
      </c>
      <c r="C188" s="3">
        <v>1.1499404626520215E-2</v>
      </c>
      <c r="D188" s="3">
        <v>-0.3291312112616871</v>
      </c>
    </row>
    <row r="189" spans="1:4" x14ac:dyDescent="0.35">
      <c r="A189" s="5">
        <v>44804</v>
      </c>
      <c r="B189" s="3">
        <v>-0.174433121413204</v>
      </c>
      <c r="C189" s="3">
        <v>1.1499404626520215E-2</v>
      </c>
      <c r="D189" s="3">
        <v>-0.3291312112616871</v>
      </c>
    </row>
    <row r="190" spans="1:4" x14ac:dyDescent="0.35">
      <c r="A190" s="5">
        <v>44805</v>
      </c>
      <c r="B190" s="3">
        <v>-0.17834134022081094</v>
      </c>
      <c r="C190" s="3">
        <v>-1.9466705912258853E-3</v>
      </c>
      <c r="D190" s="3">
        <v>-0.34383863851244878</v>
      </c>
    </row>
    <row r="191" spans="1:4" x14ac:dyDescent="0.35">
      <c r="A191" s="5">
        <v>44806</v>
      </c>
      <c r="B191" s="3">
        <v>-0.17737478588474365</v>
      </c>
      <c r="C191" s="3">
        <v>-2.4617689950897637E-3</v>
      </c>
      <c r="D191" s="3">
        <v>-0.34415379766782228</v>
      </c>
    </row>
    <row r="192" spans="1:4" x14ac:dyDescent="0.35">
      <c r="A192" s="5">
        <v>44809</v>
      </c>
      <c r="B192" s="3">
        <v>-0.17988602213695359</v>
      </c>
      <c r="C192" s="3">
        <v>-3.3849323682485499E-3</v>
      </c>
      <c r="D192" s="3">
        <v>-0.34835591973946844</v>
      </c>
    </row>
    <row r="193" spans="1:4" x14ac:dyDescent="0.35">
      <c r="A193" s="5">
        <v>44810</v>
      </c>
      <c r="B193" s="3">
        <v>-0.17557557857196904</v>
      </c>
      <c r="C193" s="3">
        <v>-4.4084395863157599E-3</v>
      </c>
      <c r="D193" s="3">
        <v>-0.33921630423363802</v>
      </c>
    </row>
    <row r="194" spans="1:4" x14ac:dyDescent="0.35">
      <c r="A194" s="5">
        <v>44811</v>
      </c>
      <c r="B194" s="3">
        <v>-0.17416696751225946</v>
      </c>
      <c r="C194" s="3">
        <v>-2.3480459708601353E-3</v>
      </c>
      <c r="D194" s="3">
        <v>-0.34037188780334071</v>
      </c>
    </row>
    <row r="195" spans="1:4" x14ac:dyDescent="0.35">
      <c r="A195" s="5">
        <v>44812</v>
      </c>
      <c r="B195" s="3">
        <v>-0.17280139927448301</v>
      </c>
      <c r="C195" s="3">
        <v>-8.6964665587330181E-5</v>
      </c>
      <c r="D195" s="3">
        <v>-0.33774556150856183</v>
      </c>
    </row>
    <row r="196" spans="1:4" x14ac:dyDescent="0.35">
      <c r="A196" s="5">
        <v>44813</v>
      </c>
      <c r="B196" s="3">
        <v>-0.17013413279276601</v>
      </c>
      <c r="C196" s="3">
        <v>1.117161473315198E-3</v>
      </c>
      <c r="D196" s="3">
        <v>-0.33217774976363057</v>
      </c>
    </row>
    <row r="197" spans="1:4" x14ac:dyDescent="0.35">
      <c r="A197" s="5">
        <v>44816</v>
      </c>
      <c r="B197" s="3">
        <v>-0.16627655850701573</v>
      </c>
      <c r="C197" s="3">
        <v>2.0737727947768292E-3</v>
      </c>
      <c r="D197" s="3">
        <v>-0.31799558777182468</v>
      </c>
    </row>
    <row r="198" spans="1:4" x14ac:dyDescent="0.35">
      <c r="A198" s="5">
        <v>44817</v>
      </c>
      <c r="B198" s="3">
        <v>-0.16702673934668411</v>
      </c>
      <c r="C198" s="3">
        <v>-4.6960919417202707E-3</v>
      </c>
      <c r="D198" s="3">
        <v>-0.3162096858913751</v>
      </c>
    </row>
    <row r="199" spans="1:4" x14ac:dyDescent="0.35">
      <c r="A199" s="5">
        <v>44818</v>
      </c>
      <c r="B199" s="3">
        <v>-0.17126714799521958</v>
      </c>
      <c r="C199" s="3">
        <v>-1.7673895883226431E-2</v>
      </c>
      <c r="D199" s="3">
        <v>-0.3289211051581048</v>
      </c>
    </row>
    <row r="200" spans="1:4" x14ac:dyDescent="0.35">
      <c r="A200" s="5">
        <v>44819</v>
      </c>
      <c r="B200" s="3">
        <v>-0.17470756734473103</v>
      </c>
      <c r="C200" s="3">
        <v>-1.8429819514870882E-2</v>
      </c>
      <c r="D200" s="3">
        <v>-0.3285008929509402</v>
      </c>
    </row>
    <row r="201" spans="1:4" x14ac:dyDescent="0.35">
      <c r="A201" s="5">
        <v>44820</v>
      </c>
      <c r="B201" s="3">
        <v>-0.17473039925164735</v>
      </c>
      <c r="C201" s="3">
        <v>-1.8429819514870882E-2</v>
      </c>
      <c r="D201" s="3">
        <v>-0.3285008929509402</v>
      </c>
    </row>
    <row r="202" spans="1:4" x14ac:dyDescent="0.35">
      <c r="A202" s="5">
        <v>44823</v>
      </c>
      <c r="B202" s="3">
        <v>-0.17945253205088585</v>
      </c>
      <c r="C202" s="3">
        <v>-2.8992681588911329E-2</v>
      </c>
      <c r="D202" s="3">
        <v>-0.34257800189095489</v>
      </c>
    </row>
    <row r="203" spans="1:4" x14ac:dyDescent="0.35">
      <c r="A203" s="5">
        <v>44824</v>
      </c>
      <c r="B203" s="3">
        <v>-0.17773010462720995</v>
      </c>
      <c r="C203" s="3">
        <v>-2.2584054694085087E-2</v>
      </c>
      <c r="D203" s="3">
        <v>-0.33911125118184682</v>
      </c>
    </row>
    <row r="204" spans="1:4" x14ac:dyDescent="0.35">
      <c r="A204" s="5">
        <v>44825</v>
      </c>
      <c r="B204" s="3">
        <v>-0.18022510851899454</v>
      </c>
      <c r="C204" s="3">
        <v>-3.1895963501598734E-2</v>
      </c>
      <c r="D204" s="3">
        <v>-0.34436390377140458</v>
      </c>
    </row>
    <row r="205" spans="1:4" x14ac:dyDescent="0.35">
      <c r="A205" s="5">
        <v>44826</v>
      </c>
      <c r="B205" s="3">
        <v>-0.18068407347586046</v>
      </c>
      <c r="C205" s="3">
        <v>-3.7261014409376014E-2</v>
      </c>
      <c r="D205" s="3">
        <v>-0.34026683475154951</v>
      </c>
    </row>
    <row r="206" spans="1:4" x14ac:dyDescent="0.35">
      <c r="A206" s="5">
        <v>44827</v>
      </c>
      <c r="B206" s="3">
        <v>-0.18521497087640493</v>
      </c>
      <c r="C206" s="3">
        <v>-4.6746852548064655E-2</v>
      </c>
      <c r="D206" s="3">
        <v>-0.34856602584305074</v>
      </c>
    </row>
    <row r="207" spans="1:4" x14ac:dyDescent="0.35">
      <c r="A207" s="5">
        <v>44830</v>
      </c>
      <c r="B207" s="3">
        <v>-0.18826383029360916</v>
      </c>
      <c r="C207" s="3">
        <v>-5.4734222602785487E-2</v>
      </c>
      <c r="D207" s="3">
        <v>-0.35676016388276077</v>
      </c>
    </row>
    <row r="208" spans="1:4" x14ac:dyDescent="0.35">
      <c r="A208" s="5">
        <v>44831</v>
      </c>
      <c r="B208" s="3">
        <v>-0.18763188092096605</v>
      </c>
      <c r="C208" s="3">
        <v>-5.6185863559129245E-2</v>
      </c>
      <c r="D208" s="3">
        <v>-0.3529782540182792</v>
      </c>
    </row>
    <row r="209" spans="1:4" x14ac:dyDescent="0.35">
      <c r="A209" s="5">
        <v>44832</v>
      </c>
      <c r="B209" s="3">
        <v>-0.18656365307221467</v>
      </c>
      <c r="C209" s="3">
        <v>-6.2193115074321237E-2</v>
      </c>
      <c r="D209" s="3">
        <v>-0.36190776342052733</v>
      </c>
    </row>
    <row r="210" spans="1:4" x14ac:dyDescent="0.35">
      <c r="A210" s="5">
        <v>44833</v>
      </c>
      <c r="B210" s="3">
        <v>-0.18745867836595098</v>
      </c>
      <c r="C210" s="3">
        <v>-6.5129844935311598E-2</v>
      </c>
      <c r="D210" s="3">
        <v>-0.36505935497426201</v>
      </c>
    </row>
    <row r="211" spans="1:4" x14ac:dyDescent="0.35">
      <c r="A211" s="5">
        <v>44834</v>
      </c>
      <c r="B211" s="3">
        <v>-0.18340921426379231</v>
      </c>
      <c r="C211" s="3">
        <v>-6.7049757167895185E-2</v>
      </c>
      <c r="D211" s="3">
        <v>-0.36012186154007775</v>
      </c>
    </row>
    <row r="212" spans="1:4" x14ac:dyDescent="0.35">
      <c r="A212" s="5">
        <v>44837</v>
      </c>
      <c r="B212" s="3">
        <v>-0.18682971022956141</v>
      </c>
      <c r="C212" s="3">
        <v>-6.5049569859384815E-2</v>
      </c>
      <c r="D212" s="3">
        <v>-0.36747557516545848</v>
      </c>
    </row>
    <row r="213" spans="1:4" x14ac:dyDescent="0.35">
      <c r="A213" s="5">
        <v>44838</v>
      </c>
      <c r="B213" s="3">
        <v>-0.18423450771443062</v>
      </c>
      <c r="C213" s="3">
        <v>-5.7195991597875362E-2</v>
      </c>
      <c r="D213" s="3">
        <v>-0.36295829393843893</v>
      </c>
    </row>
    <row r="214" spans="1:4" x14ac:dyDescent="0.35">
      <c r="A214" s="5">
        <v>44839</v>
      </c>
      <c r="B214" s="3">
        <v>-0.18367534413421849</v>
      </c>
      <c r="C214" s="3">
        <v>-4.9710340767697314E-2</v>
      </c>
      <c r="D214" s="3">
        <v>-0.36211786952410963</v>
      </c>
    </row>
    <row r="215" spans="1:4" x14ac:dyDescent="0.35">
      <c r="A215" s="5">
        <v>44840</v>
      </c>
      <c r="B215" s="3">
        <v>-0.18275268787032861</v>
      </c>
      <c r="C215" s="3">
        <v>-4.9790615843624098E-2</v>
      </c>
      <c r="D215" s="3">
        <v>-0.35854606576321035</v>
      </c>
    </row>
    <row r="216" spans="1:4" x14ac:dyDescent="0.35">
      <c r="A216" s="5">
        <v>44841</v>
      </c>
      <c r="B216" s="3">
        <v>-0.1831388670347639</v>
      </c>
      <c r="C216" s="3">
        <v>-5.9443693723826962E-2</v>
      </c>
      <c r="D216" s="3">
        <v>-0.36054207374724234</v>
      </c>
    </row>
    <row r="217" spans="1:4" x14ac:dyDescent="0.35">
      <c r="A217" s="5">
        <v>44844</v>
      </c>
      <c r="B217" s="3">
        <v>-0.18320670833779862</v>
      </c>
      <c r="C217" s="3">
        <v>-5.9443693723826962E-2</v>
      </c>
      <c r="D217" s="3">
        <v>-0.36054207374724234</v>
      </c>
    </row>
    <row r="218" spans="1:4" x14ac:dyDescent="0.35">
      <c r="A218" s="5">
        <v>44845</v>
      </c>
      <c r="B218" s="3">
        <v>-0.18599241912083009</v>
      </c>
      <c r="C218" s="3">
        <v>-7.227432669280065E-2</v>
      </c>
      <c r="D218" s="3">
        <v>-0.38060720663935288</v>
      </c>
    </row>
    <row r="219" spans="1:4" x14ac:dyDescent="0.35">
      <c r="A219" s="5">
        <v>44846</v>
      </c>
      <c r="B219" s="3">
        <v>-0.18819642526905034</v>
      </c>
      <c r="C219" s="3">
        <v>-7.6455320230657042E-2</v>
      </c>
      <c r="D219" s="3">
        <v>-0.40004202122071642</v>
      </c>
    </row>
    <row r="220" spans="1:4" x14ac:dyDescent="0.35">
      <c r="A220" s="5">
        <v>44847</v>
      </c>
      <c r="B220" s="3">
        <v>-0.1876372616888381</v>
      </c>
      <c r="C220" s="3">
        <v>-8.1278514375928146E-2</v>
      </c>
      <c r="D220" s="3">
        <v>-0.40928668977833804</v>
      </c>
    </row>
    <row r="221" spans="1:4" x14ac:dyDescent="0.35">
      <c r="A221" s="5">
        <v>44848</v>
      </c>
      <c r="B221" s="3">
        <v>-0.18853235969565385</v>
      </c>
      <c r="C221" s="3">
        <v>-7.5184298195148602E-2</v>
      </c>
      <c r="D221" s="3">
        <v>-0.4022481353083307</v>
      </c>
    </row>
    <row r="222" spans="1:4" x14ac:dyDescent="0.35">
      <c r="A222" s="5">
        <v>44851</v>
      </c>
      <c r="B222" s="3">
        <v>-0.18961796597037028</v>
      </c>
      <c r="C222" s="3">
        <v>-7.2642254124131944E-2</v>
      </c>
      <c r="D222" s="3">
        <v>-0.40560983296564768</v>
      </c>
    </row>
    <row r="223" spans="1:4" x14ac:dyDescent="0.35">
      <c r="A223" s="5">
        <v>44852</v>
      </c>
      <c r="B223" s="3">
        <v>-0.18811345964551041</v>
      </c>
      <c r="C223" s="3">
        <v>-6.3216622292388558E-2</v>
      </c>
      <c r="D223" s="3">
        <v>-0.38764576110936022</v>
      </c>
    </row>
    <row r="224" spans="1:4" x14ac:dyDescent="0.35">
      <c r="A224" s="5">
        <v>44853</v>
      </c>
      <c r="B224" s="3">
        <v>-0.18457305981189076</v>
      </c>
      <c r="C224" s="3">
        <v>-5.3356167132708077E-2</v>
      </c>
      <c r="D224" s="3">
        <v>-0.39867633154743143</v>
      </c>
    </row>
    <row r="225" spans="1:4" x14ac:dyDescent="0.35">
      <c r="A225" s="5">
        <v>44854</v>
      </c>
      <c r="B225" s="3">
        <v>-0.18212342888162147</v>
      </c>
      <c r="C225" s="3">
        <v>-3.8224315320498192E-2</v>
      </c>
      <c r="D225" s="3">
        <v>-0.39689042966698185</v>
      </c>
    </row>
    <row r="226" spans="1:4" x14ac:dyDescent="0.35">
      <c r="A226" s="5">
        <v>44855</v>
      </c>
      <c r="B226" s="3">
        <v>-0.18469107313967814</v>
      </c>
      <c r="C226" s="3">
        <v>-3.2404372315802066E-2</v>
      </c>
      <c r="D226" s="3">
        <v>-0.39930664985817832</v>
      </c>
    </row>
    <row r="227" spans="1:4" x14ac:dyDescent="0.35">
      <c r="A227" s="5">
        <v>44858</v>
      </c>
      <c r="B227" s="3">
        <v>-0.18475891444271297</v>
      </c>
      <c r="C227" s="3">
        <v>-3.2404372315802066E-2</v>
      </c>
      <c r="D227" s="3">
        <v>-0.39930664985817832</v>
      </c>
    </row>
    <row r="228" spans="1:4" x14ac:dyDescent="0.35">
      <c r="A228" s="5">
        <v>44859</v>
      </c>
      <c r="B228" s="3">
        <v>-0.18318184046466046</v>
      </c>
      <c r="C228" s="3">
        <v>-3.3748979837576631E-2</v>
      </c>
      <c r="D228" s="3">
        <v>-0.39710053577056414</v>
      </c>
    </row>
    <row r="229" spans="1:4" x14ac:dyDescent="0.35">
      <c r="A229" s="5">
        <v>44860</v>
      </c>
      <c r="B229" s="3">
        <v>-0.18246380764675296</v>
      </c>
      <c r="C229" s="3">
        <v>-2.6678083566353927E-2</v>
      </c>
      <c r="D229" s="3">
        <v>-0.39520958083832336</v>
      </c>
    </row>
    <row r="230" spans="1:4" x14ac:dyDescent="0.35">
      <c r="A230" s="5">
        <v>44861</v>
      </c>
      <c r="B230" s="3">
        <v>-0.18204733007765195</v>
      </c>
      <c r="C230" s="3">
        <v>-2.7273457046144811E-2</v>
      </c>
      <c r="D230" s="3">
        <v>-0.39184788318100638</v>
      </c>
    </row>
    <row r="231" spans="1:4" x14ac:dyDescent="0.35">
      <c r="A231" s="5">
        <v>44862</v>
      </c>
      <c r="B231" s="3">
        <v>-0.18163085250855104</v>
      </c>
      <c r="C231" s="3">
        <v>-3.1808998836011404E-2</v>
      </c>
      <c r="D231" s="3">
        <v>-0.39153272402563288</v>
      </c>
    </row>
    <row r="232" spans="1:4" x14ac:dyDescent="0.35">
      <c r="A232" s="5">
        <v>44865</v>
      </c>
      <c r="B232" s="3">
        <v>-0.18104011080108739</v>
      </c>
      <c r="C232" s="3">
        <v>-2.306570514964601E-2</v>
      </c>
      <c r="D232" s="3">
        <v>-0.38438911650383445</v>
      </c>
    </row>
    <row r="233" spans="1:4" x14ac:dyDescent="0.35">
      <c r="A233" s="5">
        <v>44866</v>
      </c>
      <c r="B233" s="3">
        <v>-0.18357097495354058</v>
      </c>
      <c r="C233" s="3">
        <v>-3.2738851798830515E-2</v>
      </c>
      <c r="D233" s="3">
        <v>-0.38470427565920784</v>
      </c>
    </row>
    <row r="234" spans="1:4" x14ac:dyDescent="0.35">
      <c r="A234" s="5">
        <v>44867</v>
      </c>
      <c r="B234" s="3">
        <v>-0.18189211150023799</v>
      </c>
      <c r="C234" s="3">
        <v>-2.8932475281966186E-2</v>
      </c>
      <c r="D234" s="3">
        <v>-0.38438911650383445</v>
      </c>
    </row>
    <row r="235" spans="1:4" x14ac:dyDescent="0.35">
      <c r="A235" s="5">
        <v>44868</v>
      </c>
      <c r="B235" s="3">
        <v>-0.18668983649631787</v>
      </c>
      <c r="C235" s="3">
        <v>-4.9824063791926831E-2</v>
      </c>
      <c r="D235" s="3">
        <v>-0.38859123857548061</v>
      </c>
    </row>
    <row r="236" spans="1:4" x14ac:dyDescent="0.35">
      <c r="A236" s="5">
        <v>44869</v>
      </c>
      <c r="B236" s="3">
        <v>-0.18424245447125032</v>
      </c>
      <c r="C236" s="3">
        <v>-3.784969829950624E-2</v>
      </c>
      <c r="D236" s="3">
        <v>-0.38323353293413176</v>
      </c>
    </row>
    <row r="237" spans="1:4" x14ac:dyDescent="0.35">
      <c r="A237" s="5">
        <v>44872</v>
      </c>
      <c r="B237" s="3">
        <v>-0.18255376636258791</v>
      </c>
      <c r="C237" s="3">
        <v>-3.5280895869847395E-2</v>
      </c>
      <c r="D237" s="3">
        <v>-0.38480932871099904</v>
      </c>
    </row>
    <row r="238" spans="1:4" x14ac:dyDescent="0.35">
      <c r="A238" s="5">
        <v>44873</v>
      </c>
      <c r="B238" s="3">
        <v>-0.18307035662094051</v>
      </c>
      <c r="C238" s="3">
        <v>-3.5795994273711274E-2</v>
      </c>
      <c r="D238" s="3">
        <v>-0.38880134467906291</v>
      </c>
    </row>
    <row r="239" spans="1:4" x14ac:dyDescent="0.35">
      <c r="A239" s="5">
        <v>44874</v>
      </c>
      <c r="B239" s="3">
        <v>-0.1826538790518395</v>
      </c>
      <c r="C239" s="3">
        <v>-3.2558232877995197E-2</v>
      </c>
      <c r="D239" s="3">
        <v>-0.38827607942010722</v>
      </c>
    </row>
    <row r="240" spans="1:4" x14ac:dyDescent="0.35">
      <c r="A240" s="5">
        <v>44875</v>
      </c>
      <c r="B240" s="3">
        <v>-0.17943819800037841</v>
      </c>
      <c r="C240" s="3">
        <v>-3.0183428548492763E-2</v>
      </c>
      <c r="D240" s="3">
        <v>-0.39541968694190566</v>
      </c>
    </row>
    <row r="241" spans="1:4" x14ac:dyDescent="0.35">
      <c r="A241" s="5">
        <v>44876</v>
      </c>
      <c r="B241" s="3">
        <v>-0.17955955170429005</v>
      </c>
      <c r="C241" s="3">
        <v>-1.7827756445419563E-2</v>
      </c>
      <c r="D241" s="3">
        <v>-0.36316840004202122</v>
      </c>
    </row>
    <row r="242" spans="1:4" x14ac:dyDescent="0.35">
      <c r="A242" s="5">
        <v>44879</v>
      </c>
      <c r="B242" s="3">
        <v>-0.17770669854433885</v>
      </c>
      <c r="C242" s="3">
        <v>-2.0644073692519638E-2</v>
      </c>
      <c r="D242" s="3">
        <v>-0.36474419581888851</v>
      </c>
    </row>
    <row r="243" spans="1:4" x14ac:dyDescent="0.35">
      <c r="A243" s="5">
        <v>44880</v>
      </c>
      <c r="B243" s="3">
        <v>-0.18255941965589551</v>
      </c>
      <c r="C243" s="3">
        <v>-2.9648261375647134E-2</v>
      </c>
      <c r="D243" s="3">
        <v>-0.37157264418531355</v>
      </c>
    </row>
    <row r="244" spans="1:4" x14ac:dyDescent="0.35">
      <c r="A244" s="5">
        <v>44881</v>
      </c>
      <c r="B244" s="3">
        <v>-0.18346021431378767</v>
      </c>
      <c r="C244" s="3">
        <v>-3.1093212742330234E-2</v>
      </c>
      <c r="D244" s="3">
        <v>-0.37209790944426935</v>
      </c>
    </row>
    <row r="245" spans="1:4" x14ac:dyDescent="0.35">
      <c r="A245" s="5">
        <v>44882</v>
      </c>
      <c r="B245" s="3">
        <v>-0.18458055434284515</v>
      </c>
      <c r="C245" s="3">
        <v>-3.0464391314236727E-2</v>
      </c>
      <c r="D245" s="3">
        <v>-0.38533459396995484</v>
      </c>
    </row>
    <row r="246" spans="1:4" x14ac:dyDescent="0.35">
      <c r="A246" s="5">
        <v>44883</v>
      </c>
      <c r="B246" s="3">
        <v>-0.18460311262973239</v>
      </c>
      <c r="C246" s="3">
        <v>-3.0464391314236727E-2</v>
      </c>
      <c r="D246" s="3">
        <v>-0.38533459396995484</v>
      </c>
    </row>
    <row r="247" spans="1:4" x14ac:dyDescent="0.35">
      <c r="A247" s="5">
        <v>44886</v>
      </c>
      <c r="B247" s="3">
        <v>-0.18795216749417665</v>
      </c>
      <c r="C247" s="3">
        <v>-3.1374175508074198E-2</v>
      </c>
      <c r="D247" s="3">
        <v>-0.38018699443218829</v>
      </c>
    </row>
    <row r="248" spans="1:4" x14ac:dyDescent="0.35">
      <c r="A248" s="5">
        <v>44887</v>
      </c>
      <c r="B248" s="3">
        <v>-0.18830393406512658</v>
      </c>
      <c r="C248" s="3">
        <v>-3.5836131811674665E-2</v>
      </c>
      <c r="D248" s="3">
        <v>-0.38029204748397938</v>
      </c>
    </row>
    <row r="249" spans="1:4" x14ac:dyDescent="0.35">
      <c r="A249" s="5">
        <v>44888</v>
      </c>
      <c r="B249" s="3">
        <v>-0.18680723838354851</v>
      </c>
      <c r="C249" s="3">
        <v>-3.4357732496688609E-2</v>
      </c>
      <c r="D249" s="3">
        <v>-0.37566971320516862</v>
      </c>
    </row>
    <row r="250" spans="1:4" x14ac:dyDescent="0.35">
      <c r="A250" s="5">
        <v>44889</v>
      </c>
      <c r="B250" s="3">
        <v>-0.18139599384774685</v>
      </c>
      <c r="C250" s="3">
        <v>4.6960919417204927E-3</v>
      </c>
      <c r="D250" s="3">
        <v>-0.33427881079945376</v>
      </c>
    </row>
    <row r="251" spans="1:4" x14ac:dyDescent="0.35">
      <c r="A251" s="5">
        <v>44890</v>
      </c>
      <c r="B251" s="3">
        <v>-0.18212422584390264</v>
      </c>
      <c r="C251" s="3">
        <v>-5.5657385975943496E-3</v>
      </c>
      <c r="D251" s="3">
        <v>-0.34436390377140458</v>
      </c>
    </row>
    <row r="252" spans="1:4" x14ac:dyDescent="0.35">
      <c r="A252" s="5">
        <v>44893</v>
      </c>
      <c r="B252" s="3">
        <v>-0.182192065363593</v>
      </c>
      <c r="C252" s="3">
        <v>-5.5657385975943496E-3</v>
      </c>
      <c r="D252" s="3">
        <v>-0.34436390377140458</v>
      </c>
    </row>
    <row r="253" spans="1:4" x14ac:dyDescent="0.35">
      <c r="A253" s="5">
        <v>44894</v>
      </c>
      <c r="B253" s="3">
        <v>-0.17874042792447165</v>
      </c>
      <c r="C253" s="3">
        <v>-1.1974365492420591E-2</v>
      </c>
      <c r="D253" s="3">
        <v>-0.34341842630528419</v>
      </c>
    </row>
    <row r="254" spans="1:4" x14ac:dyDescent="0.35">
      <c r="A254" s="5">
        <v>44895</v>
      </c>
      <c r="B254" s="3">
        <v>-0.17208456626746571</v>
      </c>
      <c r="C254" s="3">
        <v>-4.0538913343055594E-3</v>
      </c>
      <c r="D254" s="3">
        <v>-0.33953146338901141</v>
      </c>
    </row>
    <row r="255" spans="1:4" x14ac:dyDescent="0.35">
      <c r="A255" s="5">
        <v>44896</v>
      </c>
      <c r="B255" s="3">
        <v>-0.16567480125677314</v>
      </c>
      <c r="C255" s="3">
        <v>-2.2410125362909428E-3</v>
      </c>
      <c r="D255" s="3">
        <v>-0.29645971215463807</v>
      </c>
    </row>
    <row r="256" spans="1:4" x14ac:dyDescent="0.35">
      <c r="A256" s="5">
        <v>44897</v>
      </c>
      <c r="B256" s="3">
        <v>-0.15062145415464723</v>
      </c>
      <c r="C256" s="3">
        <v>-8.7366040967046255E-3</v>
      </c>
      <c r="D256" s="3">
        <v>-0.29341317365269459</v>
      </c>
    </row>
    <row r="257" spans="1:4" x14ac:dyDescent="0.35">
      <c r="A257" s="5">
        <v>44900</v>
      </c>
      <c r="B257" s="3">
        <v>-0.13875328004769782</v>
      </c>
      <c r="C257" s="3">
        <v>-1.558674390912862E-2</v>
      </c>
      <c r="D257" s="3">
        <v>-0.30276289526210731</v>
      </c>
    </row>
    <row r="258" spans="1:4" x14ac:dyDescent="0.35">
      <c r="A258" s="5">
        <v>44901</v>
      </c>
      <c r="B258" s="3">
        <v>-0.13883931936992799</v>
      </c>
      <c r="C258" s="3">
        <v>-1.5593433498789167E-2</v>
      </c>
      <c r="D258" s="3">
        <v>-0.30150225864061353</v>
      </c>
    </row>
    <row r="259" spans="1:4" x14ac:dyDescent="0.35">
      <c r="A259" s="5">
        <v>44902</v>
      </c>
      <c r="B259" s="3">
        <v>-0.14693912949914201</v>
      </c>
      <c r="C259" s="3">
        <v>-1.8717471870275393E-2</v>
      </c>
      <c r="D259" s="3">
        <v>-0.31085198025002636</v>
      </c>
    </row>
    <row r="260" spans="1:4" x14ac:dyDescent="0.35">
      <c r="A260" s="5">
        <v>44903</v>
      </c>
      <c r="B260" s="3">
        <v>-0.15115629873349978</v>
      </c>
      <c r="C260" s="3">
        <v>-1.9352982888029557E-2</v>
      </c>
      <c r="D260" s="3">
        <v>-0.31463389011450782</v>
      </c>
    </row>
    <row r="261" spans="1:4" x14ac:dyDescent="0.35">
      <c r="A261" s="5">
        <v>44904</v>
      </c>
      <c r="B261" s="3">
        <v>-0.1477218699035453</v>
      </c>
      <c r="C261" s="3">
        <v>-1.182050493022746E-2</v>
      </c>
      <c r="D261" s="3">
        <v>-0.30770038869629157</v>
      </c>
    </row>
    <row r="262" spans="1:4" x14ac:dyDescent="0.35">
      <c r="A262" s="5">
        <v>44907</v>
      </c>
      <c r="B262" s="3">
        <v>-0.15033920472245876</v>
      </c>
      <c r="C262" s="3">
        <v>-1.3700279624847655E-2</v>
      </c>
      <c r="D262" s="3">
        <v>-0.31022166193927936</v>
      </c>
    </row>
    <row r="263" spans="1:4" x14ac:dyDescent="0.35">
      <c r="A263" s="5">
        <v>44908</v>
      </c>
      <c r="B263" s="3">
        <v>-0.1502596261146778</v>
      </c>
      <c r="C263" s="3">
        <v>-1.6550044820250687E-2</v>
      </c>
      <c r="D263" s="3">
        <v>-0.30654480512658888</v>
      </c>
    </row>
    <row r="264" spans="1:4" x14ac:dyDescent="0.35">
      <c r="A264" s="5">
        <v>44909</v>
      </c>
      <c r="B264" s="3">
        <v>-0.1477034195940129</v>
      </c>
      <c r="C264" s="3">
        <v>-7.820130313206497E-3</v>
      </c>
      <c r="D264" s="3">
        <v>-0.29940119760479045</v>
      </c>
    </row>
    <row r="265" spans="1:4" x14ac:dyDescent="0.35">
      <c r="A265" s="5">
        <v>44910</v>
      </c>
      <c r="B265" s="3">
        <v>-0.15555449221693896</v>
      </c>
      <c r="C265" s="3">
        <v>-1.8550232128761057E-2</v>
      </c>
      <c r="D265" s="3">
        <v>-0.31368841264838743</v>
      </c>
    </row>
    <row r="266" spans="1:4" x14ac:dyDescent="0.35">
      <c r="A266" s="5">
        <v>44911</v>
      </c>
      <c r="B266" s="3">
        <v>-0.15402485594887416</v>
      </c>
      <c r="C266" s="3">
        <v>-1.0917410326050536E-2</v>
      </c>
      <c r="D266" s="3">
        <v>-0.31095703330181734</v>
      </c>
    </row>
    <row r="267" spans="1:4" x14ac:dyDescent="0.35">
      <c r="A267" s="5">
        <v>44914</v>
      </c>
      <c r="B267" s="3">
        <v>-0.15764931675478633</v>
      </c>
      <c r="C267" s="3">
        <v>-1.1887400826833261E-2</v>
      </c>
      <c r="D267" s="3">
        <v>-0.31347830654480513</v>
      </c>
    </row>
    <row r="268" spans="1:4" x14ac:dyDescent="0.35">
      <c r="A268" s="5">
        <v>44915</v>
      </c>
      <c r="B268" s="3">
        <v>-0.15717569668786791</v>
      </c>
      <c r="C268" s="3">
        <v>-1.8423129925210335E-2</v>
      </c>
      <c r="D268" s="3">
        <v>-0.32240781594705326</v>
      </c>
    </row>
    <row r="269" spans="1:4" x14ac:dyDescent="0.35">
      <c r="A269" s="5">
        <v>44916</v>
      </c>
      <c r="B269" s="3">
        <v>-0.15471422660503764</v>
      </c>
      <c r="C269" s="3">
        <v>-2.1614064193302363E-2</v>
      </c>
      <c r="D269" s="3">
        <v>-0.32986658262422519</v>
      </c>
    </row>
    <row r="270" spans="1:4" x14ac:dyDescent="0.35">
      <c r="A270" s="5">
        <v>44917</v>
      </c>
      <c r="B270" s="3">
        <v>-0.14653757124723232</v>
      </c>
      <c r="C270" s="3">
        <v>-1.7734102190171686E-2</v>
      </c>
      <c r="D270" s="3">
        <v>-0.3289211051581048</v>
      </c>
    </row>
    <row r="271" spans="1:4" x14ac:dyDescent="0.35">
      <c r="A271" s="5">
        <v>44918</v>
      </c>
      <c r="B271" s="3">
        <v>-0.14618850630022129</v>
      </c>
      <c r="C271" s="3">
        <v>-1.3499591935030586E-2</v>
      </c>
      <c r="D271" s="3">
        <v>-0.32682004412228172</v>
      </c>
    </row>
    <row r="272" spans="1:4" x14ac:dyDescent="0.35">
      <c r="A272" s="5">
        <v>44921</v>
      </c>
      <c r="B272" s="3">
        <v>-0.14625969840366926</v>
      </c>
      <c r="C272" s="3">
        <v>-1.3499591935030586E-2</v>
      </c>
      <c r="D272" s="3">
        <v>-0.32682004412228172</v>
      </c>
    </row>
    <row r="273" spans="1:4" x14ac:dyDescent="0.35">
      <c r="A273" s="5">
        <v>44922</v>
      </c>
      <c r="B273" s="3">
        <v>-0.1418852977436339</v>
      </c>
      <c r="C273" s="3">
        <v>-1.3492902345370039E-2</v>
      </c>
      <c r="D273" s="3">
        <v>-0.32639983191511712</v>
      </c>
    </row>
    <row r="274" spans="1:4" x14ac:dyDescent="0.35">
      <c r="A274" s="5">
        <v>44923</v>
      </c>
      <c r="B274" s="3">
        <v>-0.14520430342506607</v>
      </c>
      <c r="C274" s="3">
        <v>-9.867144749341028E-3</v>
      </c>
      <c r="D274" s="3">
        <v>-0.33385859859228917</v>
      </c>
    </row>
    <row r="275" spans="1:4" x14ac:dyDescent="0.35">
      <c r="A275" s="5">
        <v>44924</v>
      </c>
      <c r="B275" s="3">
        <v>-0.14777343137462895</v>
      </c>
      <c r="C275" s="3">
        <v>-2.1607374603640483E-3</v>
      </c>
      <c r="D275" s="3">
        <v>-0.33238785586721298</v>
      </c>
    </row>
    <row r="276" spans="1:4" x14ac:dyDescent="0.35">
      <c r="A276" s="5">
        <v>44925</v>
      </c>
      <c r="B276" s="3">
        <v>-0.14568904337550692</v>
      </c>
      <c r="C276" s="3">
        <v>4.2144414861589041E-4</v>
      </c>
      <c r="D276" s="3">
        <v>-0.33312322722975107</v>
      </c>
    </row>
    <row r="277" spans="1:4" x14ac:dyDescent="0.35">
      <c r="A277" s="5">
        <v>44928</v>
      </c>
      <c r="B277" s="3">
        <v>-0.14576023547895511</v>
      </c>
      <c r="C277" s="3">
        <v>4.2144414861589041E-4</v>
      </c>
      <c r="D277" s="3">
        <v>-0.33312322722975107</v>
      </c>
    </row>
    <row r="278" spans="1:4" x14ac:dyDescent="0.35">
      <c r="A278" s="5">
        <v>44929</v>
      </c>
      <c r="B278" s="3">
        <v>-0.1425713137980642</v>
      </c>
      <c r="C278" s="3">
        <v>-1.3961173621609979E-2</v>
      </c>
      <c r="D278" s="3">
        <v>-0.33417375774766256</v>
      </c>
    </row>
    <row r="279" spans="1:4" x14ac:dyDescent="0.35">
      <c r="A279" s="5">
        <v>44930</v>
      </c>
      <c r="B279" s="3">
        <v>-0.14733992906612636</v>
      </c>
      <c r="C279" s="3">
        <v>-1.4175240490748142E-2</v>
      </c>
      <c r="D279" s="3">
        <v>-0.33574955352452995</v>
      </c>
    </row>
    <row r="280" spans="1:4" x14ac:dyDescent="0.35">
      <c r="A280" s="5">
        <v>44931</v>
      </c>
      <c r="B280" s="3">
        <v>-0.15107832156503342</v>
      </c>
      <c r="C280" s="3">
        <v>-9.3185983971741937E-3</v>
      </c>
      <c r="D280" s="3">
        <v>-0.33091711314213679</v>
      </c>
    </row>
    <row r="281" spans="1:4" x14ac:dyDescent="0.35">
      <c r="A281" s="5">
        <v>44932</v>
      </c>
      <c r="B281" s="3">
        <v>-0.15329459186928618</v>
      </c>
      <c r="C281" s="3">
        <v>-9.5728028042759705E-3</v>
      </c>
      <c r="D281" s="3">
        <v>-0.33637987183527673</v>
      </c>
    </row>
    <row r="282" spans="1:4" x14ac:dyDescent="0.35">
      <c r="A282" s="5">
        <v>44935</v>
      </c>
      <c r="B282" s="3">
        <v>-0.15444332773032421</v>
      </c>
      <c r="C282" s="3">
        <v>-9.6330091112195593E-4</v>
      </c>
      <c r="D282" s="3">
        <v>-0.32062191406660356</v>
      </c>
    </row>
    <row r="283" spans="1:4" x14ac:dyDescent="0.35">
      <c r="A283" s="5">
        <v>44936</v>
      </c>
      <c r="B283" s="3">
        <v>-0.15408185740822167</v>
      </c>
      <c r="C283" s="3">
        <v>-6.5089707397346652E-3</v>
      </c>
      <c r="D283" s="3">
        <v>-0.32471898308645863</v>
      </c>
    </row>
    <row r="284" spans="1:4" x14ac:dyDescent="0.35">
      <c r="A284" s="5">
        <v>44937</v>
      </c>
      <c r="B284" s="3">
        <v>-0.14973369941518266</v>
      </c>
      <c r="C284" s="3">
        <v>-4.6760231727386303E-3</v>
      </c>
      <c r="D284" s="3">
        <v>-0.31673495115033079</v>
      </c>
    </row>
    <row r="285" spans="1:4" x14ac:dyDescent="0.35">
      <c r="A285" s="5">
        <v>44938</v>
      </c>
      <c r="B285" s="3">
        <v>-0.15186008740634716</v>
      </c>
      <c r="C285" s="3">
        <v>-4.1475455895534363E-3</v>
      </c>
      <c r="D285" s="3">
        <v>-0.3036033196764365</v>
      </c>
    </row>
    <row r="286" spans="1:4" x14ac:dyDescent="0.35">
      <c r="A286" s="5">
        <v>44939</v>
      </c>
      <c r="B286" s="3">
        <v>-0.14921203692020302</v>
      </c>
      <c r="C286" s="3">
        <v>1.1372302422985037E-4</v>
      </c>
      <c r="D286" s="3">
        <v>-0.29656476520642927</v>
      </c>
    </row>
    <row r="287" spans="1:4" x14ac:dyDescent="0.35">
      <c r="A287" s="5">
        <v>44942</v>
      </c>
      <c r="B287" s="3">
        <v>-0.14857687576352496</v>
      </c>
      <c r="C287" s="3">
        <v>-8.6964665587407897E-4</v>
      </c>
      <c r="D287" s="3">
        <v>-0.29740518962075846</v>
      </c>
    </row>
    <row r="288" spans="1:4" x14ac:dyDescent="0.35">
      <c r="A288" s="5">
        <v>44943</v>
      </c>
      <c r="B288" s="3">
        <v>-0.15132063177200383</v>
      </c>
      <c r="C288" s="3">
        <v>3.0236945265778026E-3</v>
      </c>
      <c r="D288" s="3">
        <v>-0.29992646286374613</v>
      </c>
    </row>
    <row r="289" spans="1:4" x14ac:dyDescent="0.35">
      <c r="A289" s="5">
        <v>44944</v>
      </c>
      <c r="B289" s="3">
        <v>-0.1493492058491156</v>
      </c>
      <c r="C289" s="3">
        <v>4.2813373827654821E-4</v>
      </c>
      <c r="D289" s="3">
        <v>-0.29372833280806798</v>
      </c>
    </row>
    <row r="290" spans="1:4" x14ac:dyDescent="0.35">
      <c r="A290" s="5">
        <v>44945</v>
      </c>
      <c r="B290" s="3">
        <v>-0.15003812385411353</v>
      </c>
      <c r="C290" s="3">
        <v>9.0978419383769271E-4</v>
      </c>
      <c r="D290" s="3">
        <v>-0.29593444689568238</v>
      </c>
    </row>
    <row r="291" spans="1:4" x14ac:dyDescent="0.35">
      <c r="A291" s="5">
        <v>44946</v>
      </c>
      <c r="B291" s="3">
        <v>-0.14920853221093433</v>
      </c>
      <c r="C291" s="3">
        <v>3.6592055443318561E-3</v>
      </c>
      <c r="D291" s="3">
        <v>-0.2919424309276184</v>
      </c>
    </row>
    <row r="292" spans="1:4" x14ac:dyDescent="0.35">
      <c r="A292" s="5">
        <v>44949</v>
      </c>
      <c r="B292" s="3">
        <v>-0.1492793812567641</v>
      </c>
      <c r="C292" s="3">
        <v>3.6592055443318561E-3</v>
      </c>
      <c r="D292" s="3">
        <v>-0.2919424309276184</v>
      </c>
    </row>
    <row r="293" spans="1:4" x14ac:dyDescent="0.35">
      <c r="A293" s="5">
        <v>44950</v>
      </c>
      <c r="B293" s="3">
        <v>-0.14930299760537402</v>
      </c>
      <c r="C293" s="3">
        <v>3.6592055443318561E-3</v>
      </c>
      <c r="D293" s="3">
        <v>-0.2919424309276184</v>
      </c>
    </row>
    <row r="294" spans="1:4" x14ac:dyDescent="0.35">
      <c r="A294" s="5">
        <v>44951</v>
      </c>
      <c r="B294" s="3">
        <v>-0.14461903454579961</v>
      </c>
      <c r="C294" s="3">
        <v>3.0705216542017411E-3</v>
      </c>
      <c r="D294" s="3">
        <v>-0.28458871730223767</v>
      </c>
    </row>
    <row r="295" spans="1:4" x14ac:dyDescent="0.35">
      <c r="A295" s="5">
        <v>44952</v>
      </c>
      <c r="B295" s="3">
        <v>-0.14001384656686233</v>
      </c>
      <c r="C295" s="3">
        <v>2.3614251501813399E-3</v>
      </c>
      <c r="D295" s="3">
        <v>-0.28553419476835795</v>
      </c>
    </row>
    <row r="296" spans="1:4" x14ac:dyDescent="0.35">
      <c r="A296" s="5">
        <v>44953</v>
      </c>
      <c r="B296" s="3">
        <v>-0.1402675875179088</v>
      </c>
      <c r="C296" s="3">
        <v>1.799499618693412E-3</v>
      </c>
      <c r="D296" s="3">
        <v>-0.28259270931820557</v>
      </c>
    </row>
    <row r="297" spans="1:4" x14ac:dyDescent="0.35">
      <c r="A297" s="5">
        <v>44956</v>
      </c>
      <c r="B297" s="3">
        <v>-0.13610485560448071</v>
      </c>
      <c r="C297" s="3">
        <v>3.0303841162384604E-3</v>
      </c>
      <c r="D297" s="3">
        <v>-0.2813320726967119</v>
      </c>
    </row>
    <row r="298" spans="1:4" x14ac:dyDescent="0.35">
      <c r="A298" s="5">
        <v>44957</v>
      </c>
      <c r="B298" s="3">
        <v>-0.13943956420940562</v>
      </c>
      <c r="C298" s="3">
        <v>-6.2614559222936572E-3</v>
      </c>
      <c r="D298" s="3">
        <v>-0.29057674125433341</v>
      </c>
    </row>
    <row r="299" spans="1:4" x14ac:dyDescent="0.35">
      <c r="A299" s="5">
        <v>44958</v>
      </c>
      <c r="B299" s="3">
        <v>-0.13946346143593813</v>
      </c>
      <c r="C299" s="3">
        <v>-6.2614559222936572E-3</v>
      </c>
      <c r="D299" s="3">
        <v>-0.29057674125433341</v>
      </c>
    </row>
    <row r="300" spans="1:4" x14ac:dyDescent="0.35">
      <c r="A300" s="5">
        <v>44959</v>
      </c>
      <c r="B300" s="3">
        <v>-0.13387394993590773</v>
      </c>
      <c r="C300" s="3">
        <v>-3.3849323682485499E-3</v>
      </c>
      <c r="D300" s="3">
        <v>-0.27093182056938747</v>
      </c>
    </row>
    <row r="301" spans="1:4" x14ac:dyDescent="0.35">
      <c r="A301" s="5">
        <v>44960</v>
      </c>
      <c r="B301" s="3">
        <v>-0.13225506219600613</v>
      </c>
      <c r="C301" s="3">
        <v>-2.9367298609902504E-3</v>
      </c>
      <c r="D301" s="3">
        <v>-0.27103687362117868</v>
      </c>
    </row>
    <row r="302" spans="1:4" x14ac:dyDescent="0.35">
      <c r="A302" s="5">
        <v>44963</v>
      </c>
      <c r="B302" s="3">
        <v>-0.13232730152037808</v>
      </c>
      <c r="C302" s="3">
        <v>-2.9367298609902504E-3</v>
      </c>
      <c r="D302" s="3">
        <v>-0.27103687362117868</v>
      </c>
    </row>
    <row r="303" spans="1:4" x14ac:dyDescent="0.35">
      <c r="A303" s="5">
        <v>44964</v>
      </c>
      <c r="B303" s="3">
        <v>-0.13417525413376996</v>
      </c>
      <c r="C303" s="3">
        <v>-1.2362361692733637E-2</v>
      </c>
      <c r="D303" s="3">
        <v>-0.29572434079209997</v>
      </c>
    </row>
    <row r="304" spans="1:4" x14ac:dyDescent="0.35">
      <c r="A304" s="5">
        <v>44965</v>
      </c>
      <c r="B304" s="3">
        <v>-0.13315869845182848</v>
      </c>
      <c r="C304" s="3">
        <v>-1.6128600671634685E-2</v>
      </c>
      <c r="D304" s="3">
        <v>-0.29078684735791571</v>
      </c>
    </row>
    <row r="305" spans="1:4" x14ac:dyDescent="0.35">
      <c r="A305" s="5">
        <v>44966</v>
      </c>
      <c r="B305" s="3">
        <v>-0.13941304623011486</v>
      </c>
      <c r="C305" s="3">
        <v>-2.021593995424309E-2</v>
      </c>
      <c r="D305" s="3">
        <v>-0.29761529572434076</v>
      </c>
    </row>
    <row r="306" spans="1:4" x14ac:dyDescent="0.35">
      <c r="A306" s="5">
        <v>44967</v>
      </c>
      <c r="B306" s="3">
        <v>-0.14809518839756364</v>
      </c>
      <c r="C306" s="3">
        <v>-1.355979824197584E-2</v>
      </c>
      <c r="D306" s="3">
        <v>-0.30906607836957667</v>
      </c>
    </row>
    <row r="307" spans="1:4" x14ac:dyDescent="0.35">
      <c r="A307" s="5">
        <v>44970</v>
      </c>
      <c r="B307" s="3">
        <v>-0.14762562712872296</v>
      </c>
      <c r="C307" s="3">
        <v>-1.3171802041662684E-2</v>
      </c>
      <c r="D307" s="3">
        <v>-0.3177854816682425</v>
      </c>
    </row>
    <row r="308" spans="1:4" x14ac:dyDescent="0.35">
      <c r="A308" s="5">
        <v>44971</v>
      </c>
      <c r="B308" s="3">
        <v>-0.13996952325542489</v>
      </c>
      <c r="C308" s="3">
        <v>-7.2849631403608672E-3</v>
      </c>
      <c r="D308" s="3">
        <v>-0.31148229856077314</v>
      </c>
    </row>
    <row r="309" spans="1:4" x14ac:dyDescent="0.35">
      <c r="A309" s="5">
        <v>44972</v>
      </c>
      <c r="B309" s="3">
        <v>-0.11651715621849423</v>
      </c>
      <c r="C309" s="3">
        <v>-4.4619563036002452E-3</v>
      </c>
      <c r="D309" s="3">
        <v>-0.30685996428196238</v>
      </c>
    </row>
    <row r="310" spans="1:4" x14ac:dyDescent="0.35">
      <c r="A310" s="5">
        <v>44973</v>
      </c>
      <c r="B310" s="3">
        <v>-0.11310238403625072</v>
      </c>
      <c r="C310" s="3">
        <v>-7.0909650402043445E-3</v>
      </c>
      <c r="D310" s="3">
        <v>-0.3033932135728542</v>
      </c>
    </row>
    <row r="311" spans="1:4" x14ac:dyDescent="0.35">
      <c r="A311" s="5">
        <v>44974</v>
      </c>
      <c r="B311" s="3">
        <v>-0.12894773077292654</v>
      </c>
      <c r="C311" s="3">
        <v>-1.2014503030383983E-2</v>
      </c>
      <c r="D311" s="3">
        <v>-0.32671499107049051</v>
      </c>
    </row>
    <row r="312" spans="1:4" x14ac:dyDescent="0.35">
      <c r="A312" s="5">
        <v>44977</v>
      </c>
      <c r="B312" s="3">
        <v>-0.12253473348777744</v>
      </c>
      <c r="C312" s="3">
        <v>-1.431572187362018E-2</v>
      </c>
      <c r="D312" s="3">
        <v>-0.33312322722975107</v>
      </c>
    </row>
    <row r="313" spans="1:4" x14ac:dyDescent="0.35">
      <c r="A313" s="5">
        <v>44978</v>
      </c>
      <c r="B313" s="3">
        <v>-0.12842618710140363</v>
      </c>
      <c r="C313" s="3">
        <v>-1.3947794442288886E-2</v>
      </c>
      <c r="D313" s="3">
        <v>-0.33438386385124486</v>
      </c>
    </row>
    <row r="314" spans="1:4" x14ac:dyDescent="0.35">
      <c r="A314" s="5">
        <v>44979</v>
      </c>
      <c r="B314" s="3">
        <v>-0.13557460272619981</v>
      </c>
      <c r="C314" s="3">
        <v>-2.0644073692519638E-2</v>
      </c>
      <c r="D314" s="3">
        <v>-0.34457400987498688</v>
      </c>
    </row>
    <row r="315" spans="1:4" x14ac:dyDescent="0.35">
      <c r="A315" s="5">
        <v>44980</v>
      </c>
      <c r="B315" s="3">
        <v>-0.1155524355411176</v>
      </c>
      <c r="C315" s="3">
        <v>-2.489196312698172E-2</v>
      </c>
      <c r="D315" s="3">
        <v>-0.33091711314213679</v>
      </c>
    </row>
    <row r="316" spans="1:4" x14ac:dyDescent="0.35">
      <c r="A316" s="5">
        <v>44981</v>
      </c>
      <c r="B316" s="3">
        <v>-0.10029673040613252</v>
      </c>
      <c r="C316" s="3">
        <v>-2.5460578248130195E-2</v>
      </c>
      <c r="D316" s="3">
        <v>-0.32419371782750284</v>
      </c>
    </row>
    <row r="317" spans="1:4" x14ac:dyDescent="0.35">
      <c r="A317" s="5">
        <v>44984</v>
      </c>
      <c r="B317" s="3">
        <v>-8.5730209734685037E-2</v>
      </c>
      <c r="C317" s="3">
        <v>-2.6330224904004274E-2</v>
      </c>
      <c r="D317" s="3">
        <v>-0.33280806807437757</v>
      </c>
    </row>
    <row r="318" spans="1:4" x14ac:dyDescent="0.35">
      <c r="A318" s="5">
        <v>44985</v>
      </c>
      <c r="B318" s="3">
        <v>-9.9119707307215643E-2</v>
      </c>
      <c r="C318" s="3">
        <v>-2.720656114953901E-2</v>
      </c>
      <c r="D318" s="3">
        <v>-0.32829078684735791</v>
      </c>
    </row>
    <row r="319" spans="1:4" x14ac:dyDescent="0.35">
      <c r="A319" s="5">
        <v>44986</v>
      </c>
      <c r="B319" s="3">
        <v>-8.6983093731277883E-2</v>
      </c>
      <c r="C319" s="3">
        <v>-2.9875707424106501E-2</v>
      </c>
      <c r="D319" s="3">
        <v>-0.32566446055257903</v>
      </c>
    </row>
    <row r="320" spans="1:4" x14ac:dyDescent="0.35">
      <c r="A320" s="5">
        <v>44987</v>
      </c>
      <c r="B320" s="3">
        <v>-9.1626920547826174E-2</v>
      </c>
      <c r="C320" s="3">
        <v>-2.6336914493664931E-2</v>
      </c>
      <c r="D320" s="3">
        <v>-0.329026158209896</v>
      </c>
    </row>
    <row r="321" spans="1:4" x14ac:dyDescent="0.35">
      <c r="A321" s="5">
        <v>44988</v>
      </c>
      <c r="B321" s="3">
        <v>-8.9185712929994221E-2</v>
      </c>
      <c r="C321" s="3">
        <v>-2.7634694887815558E-2</v>
      </c>
      <c r="D321" s="3">
        <v>-0.33343838638512446</v>
      </c>
    </row>
    <row r="322" spans="1:4" x14ac:dyDescent="0.35">
      <c r="A322" s="5">
        <v>44991</v>
      </c>
      <c r="B322" s="3">
        <v>-8.7221338221453837E-2</v>
      </c>
      <c r="C322" s="3">
        <v>-2.8216689188285127E-2</v>
      </c>
      <c r="D322" s="3">
        <v>-0.32639983191511712</v>
      </c>
    </row>
    <row r="323" spans="1:4" x14ac:dyDescent="0.35">
      <c r="A323" s="5">
        <v>44992</v>
      </c>
      <c r="B323" s="3">
        <v>-8.2373463277930936E-2</v>
      </c>
      <c r="C323" s="3">
        <v>-2.4209624981603506E-2</v>
      </c>
      <c r="D323" s="3">
        <v>-0.32766046853661102</v>
      </c>
    </row>
    <row r="324" spans="1:4" x14ac:dyDescent="0.35">
      <c r="A324" s="5">
        <v>44993</v>
      </c>
      <c r="B324" s="3">
        <v>-8.3004925912828265E-2</v>
      </c>
      <c r="C324" s="3">
        <v>-2.6892150435492201E-2</v>
      </c>
      <c r="D324" s="3">
        <v>-0.33312322722975107</v>
      </c>
    </row>
    <row r="325" spans="1:4" x14ac:dyDescent="0.35">
      <c r="A325" s="5">
        <v>44994</v>
      </c>
      <c r="B325" s="3">
        <v>-8.7227432152110373E-2</v>
      </c>
      <c r="C325" s="3">
        <v>-3.0323909931364801E-2</v>
      </c>
      <c r="D325" s="3">
        <v>-0.33753545540497942</v>
      </c>
    </row>
    <row r="326" spans="1:4" x14ac:dyDescent="0.35">
      <c r="A326" s="5">
        <v>44995</v>
      </c>
      <c r="B326" s="3">
        <v>-9.1748931379574405E-2</v>
      </c>
      <c r="C326" s="3">
        <v>-4.1328284923002778E-2</v>
      </c>
      <c r="D326" s="3">
        <v>-0.34425885071961337</v>
      </c>
    </row>
    <row r="327" spans="1:4" x14ac:dyDescent="0.35">
      <c r="A327" s="5">
        <v>44998</v>
      </c>
      <c r="B327" s="3">
        <v>-9.954698910535098E-2</v>
      </c>
      <c r="C327" s="3">
        <v>-4.8854073291144329E-2</v>
      </c>
      <c r="D327" s="3">
        <v>-0.34898623805021534</v>
      </c>
    </row>
    <row r="328" spans="1:4" x14ac:dyDescent="0.35">
      <c r="A328" s="5">
        <v>44999</v>
      </c>
      <c r="B328" s="3">
        <v>-0.11817819127446905</v>
      </c>
      <c r="C328" s="3">
        <v>-6.7584924340740926E-2</v>
      </c>
      <c r="D328" s="3">
        <v>-0.35791574745246346</v>
      </c>
    </row>
    <row r="329" spans="1:4" x14ac:dyDescent="0.35">
      <c r="A329" s="5">
        <v>45000</v>
      </c>
      <c r="B329" s="3">
        <v>-0.11282686188366176</v>
      </c>
      <c r="C329" s="3">
        <v>-6.082843878356492E-2</v>
      </c>
      <c r="D329" s="3">
        <v>-0.353503519277235</v>
      </c>
    </row>
    <row r="330" spans="1:4" x14ac:dyDescent="0.35">
      <c r="A330" s="5">
        <v>45001</v>
      </c>
      <c r="B330" s="3">
        <v>-0.12262569975592019</v>
      </c>
      <c r="C330" s="3">
        <v>-6.9076702835048076E-2</v>
      </c>
      <c r="D330" s="3">
        <v>-0.36096228595440694</v>
      </c>
    </row>
    <row r="331" spans="1:4" x14ac:dyDescent="0.35">
      <c r="A331" s="5">
        <v>45002</v>
      </c>
      <c r="B331" s="3">
        <v>-0.12362750708915771</v>
      </c>
      <c r="C331" s="3">
        <v>-5.5610558848320224E-2</v>
      </c>
      <c r="D331" s="3">
        <v>-0.35655005777917848</v>
      </c>
    </row>
    <row r="332" spans="1:4" x14ac:dyDescent="0.35">
      <c r="A332" s="5">
        <v>45005</v>
      </c>
      <c r="B332" s="3">
        <v>-0.13396343762897456</v>
      </c>
      <c r="C332" s="3">
        <v>-6.2246631791605833E-2</v>
      </c>
      <c r="D332" s="3">
        <v>-0.35676016388276077</v>
      </c>
    </row>
    <row r="333" spans="1:4" x14ac:dyDescent="0.35">
      <c r="A333" s="5">
        <v>45006</v>
      </c>
      <c r="B333" s="3">
        <v>-0.12941198045745084</v>
      </c>
      <c r="C333" s="3">
        <v>-5.9075766292495557E-2</v>
      </c>
      <c r="D333" s="3">
        <v>-0.35928143712574845</v>
      </c>
    </row>
    <row r="334" spans="1:4" x14ac:dyDescent="0.35">
      <c r="A334" s="5">
        <v>45007</v>
      </c>
      <c r="B334" s="3">
        <v>-0.13561909053084364</v>
      </c>
      <c r="C334" s="3">
        <v>-5.5403181568842497E-2</v>
      </c>
      <c r="D334" s="3">
        <v>-0.35507931505410228</v>
      </c>
    </row>
    <row r="335" spans="1:4" x14ac:dyDescent="0.35">
      <c r="A335" s="5">
        <v>45008</v>
      </c>
      <c r="B335" s="3">
        <v>-0.13085377371298368</v>
      </c>
      <c r="C335" s="3">
        <v>-5.6112278072862898E-2</v>
      </c>
      <c r="D335" s="3">
        <v>-0.35108729908603842</v>
      </c>
    </row>
    <row r="336" spans="1:4" x14ac:dyDescent="0.35">
      <c r="A336" s="5">
        <v>45009</v>
      </c>
      <c r="B336" s="3">
        <v>-0.12550210222493585</v>
      </c>
      <c r="C336" s="3">
        <v>-6.3658135209986089E-2</v>
      </c>
      <c r="D336" s="3">
        <v>-0.35077213993066503</v>
      </c>
    </row>
    <row r="337" spans="1:4" x14ac:dyDescent="0.35">
      <c r="A337" s="5">
        <v>45012</v>
      </c>
      <c r="B337" s="3">
        <v>-0.12901617395021203</v>
      </c>
      <c r="C337" s="3">
        <v>-6.5731908004763029E-2</v>
      </c>
      <c r="D337" s="3">
        <v>-0.35655005777917848</v>
      </c>
    </row>
    <row r="338" spans="1:4" x14ac:dyDescent="0.35">
      <c r="A338" s="5">
        <v>45013</v>
      </c>
      <c r="B338" s="3">
        <v>-9.0353809961850273E-2</v>
      </c>
      <c r="C338" s="3">
        <v>-5.7376610518710791E-2</v>
      </c>
      <c r="D338" s="3">
        <v>-0.35749553524529887</v>
      </c>
    </row>
    <row r="339" spans="1:4" x14ac:dyDescent="0.35">
      <c r="A339" s="5">
        <v>45014</v>
      </c>
      <c r="B339" s="3">
        <v>-6.301129704796915E-2</v>
      </c>
      <c r="C339" s="3">
        <v>-4.9844132560908694E-2</v>
      </c>
      <c r="D339" s="3">
        <v>-0.35224288265574122</v>
      </c>
    </row>
    <row r="340" spans="1:4" x14ac:dyDescent="0.35">
      <c r="A340" s="5">
        <v>45015</v>
      </c>
      <c r="B340" s="3">
        <v>-6.4992137812434514E-2</v>
      </c>
      <c r="C340" s="3">
        <v>-4.6994367365505774E-2</v>
      </c>
      <c r="D340" s="3">
        <v>-0.34741044227334805</v>
      </c>
    </row>
    <row r="341" spans="1:4" x14ac:dyDescent="0.35">
      <c r="A341" s="5">
        <v>45016</v>
      </c>
      <c r="B341" s="3">
        <v>-6.0130984896205164E-2</v>
      </c>
      <c r="C341" s="3">
        <v>-4.8345664476940997E-2</v>
      </c>
      <c r="D341" s="3">
        <v>-0.341947683580208</v>
      </c>
    </row>
    <row r="342" spans="1:4" x14ac:dyDescent="0.35">
      <c r="A342" s="5">
        <v>45019</v>
      </c>
      <c r="B342" s="3">
        <v>-4.9167648017342414E-2</v>
      </c>
      <c r="C342" s="3">
        <v>-4.1120907643525051E-2</v>
      </c>
      <c r="D342" s="3">
        <v>-0.33448891690303595</v>
      </c>
    </row>
    <row r="343" spans="1:4" x14ac:dyDescent="0.35">
      <c r="A343" s="5">
        <v>45020</v>
      </c>
      <c r="B343" s="3">
        <v>-5.310372112427153E-2</v>
      </c>
      <c r="C343" s="3">
        <v>-4.3649572535220726E-2</v>
      </c>
      <c r="D343" s="3">
        <v>-0.33364849248870676</v>
      </c>
    </row>
    <row r="344" spans="1:4" x14ac:dyDescent="0.35">
      <c r="A344" s="5">
        <v>45021</v>
      </c>
      <c r="B344" s="3">
        <v>-5.6062373544106148E-2</v>
      </c>
      <c r="C344" s="3">
        <v>-4.3689710073184118E-2</v>
      </c>
      <c r="D344" s="3">
        <v>-0.33574955352452995</v>
      </c>
    </row>
    <row r="345" spans="1:4" x14ac:dyDescent="0.35">
      <c r="A345" s="5">
        <v>45022</v>
      </c>
      <c r="B345" s="3">
        <v>-5.5111196602460222E-2</v>
      </c>
      <c r="C345" s="3">
        <v>-4.6807058855009687E-2</v>
      </c>
      <c r="D345" s="3">
        <v>-0.34352347935707528</v>
      </c>
    </row>
    <row r="346" spans="1:4" x14ac:dyDescent="0.35">
      <c r="A346" s="5">
        <v>45023</v>
      </c>
      <c r="B346" s="3">
        <v>-5.9047171967320566E-2</v>
      </c>
      <c r="C346" s="3">
        <v>-4.5368797077987244E-2</v>
      </c>
      <c r="D346" s="3">
        <v>-0.34657001785901875</v>
      </c>
    </row>
    <row r="347" spans="1:4" x14ac:dyDescent="0.35">
      <c r="A347" s="5">
        <v>45026</v>
      </c>
      <c r="B347" s="3">
        <v>-5.9125658848494189E-2</v>
      </c>
      <c r="C347" s="3">
        <v>-4.4639631804984981E-2</v>
      </c>
      <c r="D347" s="3">
        <v>-0.34383863851244878</v>
      </c>
    </row>
    <row r="348" spans="1:4" x14ac:dyDescent="0.35">
      <c r="A348" s="5">
        <v>45027</v>
      </c>
      <c r="B348" s="3">
        <v>-6.6971170348628872E-2</v>
      </c>
      <c r="C348" s="3">
        <v>-3.9448510228382472E-2</v>
      </c>
      <c r="D348" s="3">
        <v>-0.3412123122176699</v>
      </c>
    </row>
    <row r="349" spans="1:4" x14ac:dyDescent="0.35">
      <c r="A349" s="5">
        <v>45028</v>
      </c>
      <c r="B349" s="3">
        <v>-6.9929382929154515E-2</v>
      </c>
      <c r="C349" s="3">
        <v>-4.0217813039348127E-2</v>
      </c>
      <c r="D349" s="3">
        <v>-0.34257800189095489</v>
      </c>
    </row>
    <row r="350" spans="1:4" x14ac:dyDescent="0.35">
      <c r="A350" s="5">
        <v>45029</v>
      </c>
      <c r="B350" s="3">
        <v>-4.3564877154779857E-2</v>
      </c>
      <c r="C350" s="3">
        <v>-4.0565671701697781E-2</v>
      </c>
      <c r="D350" s="3">
        <v>-0.33753545540497942</v>
      </c>
    </row>
    <row r="351" spans="1:4" x14ac:dyDescent="0.35">
      <c r="A351" s="5">
        <v>45030</v>
      </c>
      <c r="B351" s="3">
        <v>-4.9455987120035294E-2</v>
      </c>
      <c r="C351" s="3">
        <v>-3.9956919042585803E-2</v>
      </c>
      <c r="D351" s="3">
        <v>-0.33459396995482715</v>
      </c>
    </row>
    <row r="352" spans="1:4" x14ac:dyDescent="0.35">
      <c r="A352" s="5">
        <v>45033</v>
      </c>
      <c r="B352" s="3">
        <v>-4.5625622060415427E-2</v>
      </c>
      <c r="C352" s="3">
        <v>-4.0110779604778934E-2</v>
      </c>
      <c r="D352" s="3">
        <v>-0.34005672864796721</v>
      </c>
    </row>
    <row r="353" spans="1:4" x14ac:dyDescent="0.35">
      <c r="A353" s="5">
        <v>45034</v>
      </c>
      <c r="B353" s="3">
        <v>-4.9561841780447535E-2</v>
      </c>
      <c r="C353" s="3">
        <v>-4.1809935378563923E-2</v>
      </c>
      <c r="D353" s="3">
        <v>-0.34509927513394256</v>
      </c>
    </row>
    <row r="354" spans="1:4" x14ac:dyDescent="0.35">
      <c r="A354" s="5">
        <v>45035</v>
      </c>
      <c r="B354" s="3">
        <v>-5.3497963758410871E-2</v>
      </c>
      <c r="C354" s="3">
        <v>-4.6686646241119512E-2</v>
      </c>
      <c r="D354" s="3">
        <v>-0.34699023006618346</v>
      </c>
    </row>
    <row r="355" spans="1:4" x14ac:dyDescent="0.35">
      <c r="A355" s="5">
        <v>45036</v>
      </c>
      <c r="B355" s="3">
        <v>-5.8411408681399934E-2</v>
      </c>
      <c r="C355" s="3">
        <v>-4.8666764780648353E-2</v>
      </c>
      <c r="D355" s="3">
        <v>-0.35276814791469691</v>
      </c>
    </row>
    <row r="356" spans="1:4" x14ac:dyDescent="0.35">
      <c r="A356" s="5">
        <v>45037</v>
      </c>
      <c r="B356" s="3">
        <v>-5.8437603555814066E-2</v>
      </c>
      <c r="C356" s="3">
        <v>-4.8666764780648353E-2</v>
      </c>
      <c r="D356" s="3">
        <v>-0.35276814791469691</v>
      </c>
    </row>
    <row r="357" spans="1:4" x14ac:dyDescent="0.35">
      <c r="A357" s="5">
        <v>45040</v>
      </c>
      <c r="B357" s="3">
        <v>-5.8516188179056572E-2</v>
      </c>
      <c r="C357" s="3">
        <v>-4.8666764780648353E-2</v>
      </c>
      <c r="D357" s="3">
        <v>-0.35276814791469691</v>
      </c>
    </row>
    <row r="358" spans="1:4" x14ac:dyDescent="0.35">
      <c r="A358" s="5">
        <v>45041</v>
      </c>
      <c r="B358" s="3">
        <v>-5.5070584772911602E-2</v>
      </c>
      <c r="C358" s="3">
        <v>-4.6606371165192617E-2</v>
      </c>
      <c r="D358" s="3">
        <v>-0.35486920895051999</v>
      </c>
    </row>
    <row r="359" spans="1:4" x14ac:dyDescent="0.35">
      <c r="A359" s="5">
        <v>45042</v>
      </c>
      <c r="B359" s="3">
        <v>-5.4119456702299895E-2</v>
      </c>
      <c r="C359" s="3">
        <v>-5.392478225385644E-2</v>
      </c>
      <c r="D359" s="3">
        <v>-0.35676016388276077</v>
      </c>
    </row>
    <row r="360" spans="1:4" x14ac:dyDescent="0.35">
      <c r="A360" s="5">
        <v>45043</v>
      </c>
      <c r="B360" s="3">
        <v>-5.5123170005877076E-2</v>
      </c>
      <c r="C360" s="3">
        <v>-5.1382738182839782E-2</v>
      </c>
      <c r="D360" s="3">
        <v>-0.36054207374724234</v>
      </c>
    </row>
    <row r="361" spans="1:4" x14ac:dyDescent="0.35">
      <c r="A361" s="5">
        <v>45044</v>
      </c>
      <c r="B361" s="3">
        <v>-5.5149462622359979E-2</v>
      </c>
      <c r="C361" s="3">
        <v>-5.2787552011559491E-2</v>
      </c>
      <c r="D361" s="3">
        <v>-0.35476415589872878</v>
      </c>
    </row>
    <row r="362" spans="1:4" x14ac:dyDescent="0.35">
      <c r="A362" s="5">
        <v>45047</v>
      </c>
      <c r="B362" s="3">
        <v>-5.5228340471808468E-2</v>
      </c>
      <c r="C362" s="3">
        <v>-5.2787552011559491E-2</v>
      </c>
      <c r="D362" s="3">
        <v>-0.35476415589872878</v>
      </c>
    </row>
    <row r="363" spans="1:4" x14ac:dyDescent="0.35">
      <c r="A363" s="5">
        <v>45048</v>
      </c>
      <c r="B363" s="3">
        <v>-6.0110312448673153E-2</v>
      </c>
      <c r="C363" s="3">
        <v>-4.5990928916420315E-2</v>
      </c>
      <c r="D363" s="3">
        <v>-0.3538186784326085</v>
      </c>
    </row>
    <row r="364" spans="1:4" x14ac:dyDescent="0.35">
      <c r="A364" s="5">
        <v>45049</v>
      </c>
      <c r="B364" s="3">
        <v>-6.209129982624173E-2</v>
      </c>
      <c r="C364" s="3">
        <v>-4.6071203992346987E-2</v>
      </c>
      <c r="D364" s="3">
        <v>-0.35896627797037495</v>
      </c>
    </row>
    <row r="365" spans="1:4" x14ac:dyDescent="0.35">
      <c r="A365" s="5">
        <v>45050</v>
      </c>
      <c r="B365" s="3">
        <v>-6.211739695858709E-2</v>
      </c>
      <c r="C365" s="3">
        <v>-4.6071203992346987E-2</v>
      </c>
      <c r="D365" s="3">
        <v>-0.35896627797037495</v>
      </c>
    </row>
    <row r="366" spans="1:4" x14ac:dyDescent="0.35">
      <c r="A366" s="5">
        <v>45051</v>
      </c>
      <c r="B366" s="3">
        <v>-8.0383874598315863E-2</v>
      </c>
      <c r="C366" s="3">
        <v>-4.2692961213759095E-2</v>
      </c>
      <c r="D366" s="3">
        <v>-0.36705536295829388</v>
      </c>
    </row>
    <row r="367" spans="1:4" x14ac:dyDescent="0.35">
      <c r="A367" s="5">
        <v>45054</v>
      </c>
      <c r="B367" s="3">
        <v>-0.10861056226574262</v>
      </c>
      <c r="C367" s="3">
        <v>-4.0886772005405136E-2</v>
      </c>
      <c r="D367" s="3">
        <v>-0.37115243197814896</v>
      </c>
    </row>
    <row r="368" spans="1:4" x14ac:dyDescent="0.35">
      <c r="A368" s="5">
        <v>45055</v>
      </c>
      <c r="B368" s="3">
        <v>-0.11919158104284844</v>
      </c>
      <c r="C368" s="3">
        <v>-4.1629316457728383E-2</v>
      </c>
      <c r="D368" s="3">
        <v>-0.37682529677487131</v>
      </c>
    </row>
    <row r="369" spans="1:4" x14ac:dyDescent="0.35">
      <c r="A369" s="5">
        <v>45056</v>
      </c>
      <c r="B369" s="3">
        <v>-0.13563683071631449</v>
      </c>
      <c r="C369" s="3">
        <v>-4.6278581271824715E-2</v>
      </c>
      <c r="D369" s="3">
        <v>-0.37388381132471893</v>
      </c>
    </row>
    <row r="370" spans="1:4" x14ac:dyDescent="0.35">
      <c r="A370" s="5">
        <v>45057</v>
      </c>
      <c r="B370" s="3">
        <v>-0.13800678265631217</v>
      </c>
      <c r="C370" s="3">
        <v>-4.6613060754853164E-2</v>
      </c>
      <c r="D370" s="3">
        <v>-0.38176279020905557</v>
      </c>
    </row>
    <row r="371" spans="1:4" x14ac:dyDescent="0.35">
      <c r="A371" s="5">
        <v>45058</v>
      </c>
      <c r="B371" s="3">
        <v>-0.13333920790716169</v>
      </c>
      <c r="C371" s="3">
        <v>-4.8124908018142065E-2</v>
      </c>
      <c r="D371" s="3">
        <v>-0.38029204748397938</v>
      </c>
    </row>
    <row r="372" spans="1:4" x14ac:dyDescent="0.35">
      <c r="A372" s="5">
        <v>45061</v>
      </c>
      <c r="B372" s="3">
        <v>-0.12050982832353252</v>
      </c>
      <c r="C372" s="3">
        <v>-5.1837630279758629E-2</v>
      </c>
      <c r="D372" s="3">
        <v>-0.38512448786637254</v>
      </c>
    </row>
    <row r="373" spans="1:4" x14ac:dyDescent="0.35">
      <c r="A373" s="5">
        <v>45062</v>
      </c>
      <c r="B373" s="3">
        <v>-0.12405307605631843</v>
      </c>
      <c r="C373" s="3">
        <v>-4.773691181782902E-2</v>
      </c>
      <c r="D373" s="3">
        <v>-0.38218300241622016</v>
      </c>
    </row>
    <row r="374" spans="1:4" x14ac:dyDescent="0.35">
      <c r="A374" s="5">
        <v>45063</v>
      </c>
      <c r="B374" s="3">
        <v>-0.12876913087154873</v>
      </c>
      <c r="C374" s="3">
        <v>-4.7174986286341203E-2</v>
      </c>
      <c r="D374" s="3">
        <v>-0.38323353293413176</v>
      </c>
    </row>
    <row r="375" spans="1:4" x14ac:dyDescent="0.35">
      <c r="A375" s="5">
        <v>45064</v>
      </c>
      <c r="B375" s="3">
        <v>-0.13348503907367615</v>
      </c>
      <c r="C375" s="3">
        <v>-4.4699838111930124E-2</v>
      </c>
      <c r="D375" s="3">
        <v>-0.377980880344574</v>
      </c>
    </row>
    <row r="376" spans="1:4" x14ac:dyDescent="0.35">
      <c r="A376" s="5">
        <v>45065</v>
      </c>
      <c r="B376" s="3">
        <v>-0.13233632541116858</v>
      </c>
      <c r="C376" s="3">
        <v>-4.4365358628901674E-2</v>
      </c>
      <c r="D376" s="3">
        <v>-0.38617501838428403</v>
      </c>
    </row>
    <row r="377" spans="1:4" x14ac:dyDescent="0.35">
      <c r="A377" s="5">
        <v>45068</v>
      </c>
      <c r="B377" s="3">
        <v>-0.13240889889718521</v>
      </c>
      <c r="C377" s="3">
        <v>-5.0747227165085618E-2</v>
      </c>
      <c r="D377" s="3">
        <v>-0.39289841369891798</v>
      </c>
    </row>
    <row r="378" spans="1:4" x14ac:dyDescent="0.35">
      <c r="A378" s="5">
        <v>45069</v>
      </c>
      <c r="B378" s="3">
        <v>-0.13712470935724386</v>
      </c>
      <c r="C378" s="3">
        <v>-5.5737661051871057E-2</v>
      </c>
      <c r="D378" s="3">
        <v>-0.40130265784221031</v>
      </c>
    </row>
    <row r="379" spans="1:4" x14ac:dyDescent="0.35">
      <c r="A379" s="5">
        <v>45070</v>
      </c>
      <c r="B379" s="3">
        <v>-0.15708818479390596</v>
      </c>
      <c r="C379" s="3">
        <v>-5.7022062266700591E-2</v>
      </c>
      <c r="D379" s="3">
        <v>-0.40151276394579261</v>
      </c>
    </row>
    <row r="380" spans="1:4" x14ac:dyDescent="0.35">
      <c r="A380" s="5">
        <v>45071</v>
      </c>
      <c r="B380" s="3">
        <v>-0.15595388675944066</v>
      </c>
      <c r="C380" s="3">
        <v>-6.1798429284347645E-2</v>
      </c>
      <c r="D380" s="3">
        <v>-0.39909654375459602</v>
      </c>
    </row>
    <row r="381" spans="1:4" x14ac:dyDescent="0.35">
      <c r="A381" s="5">
        <v>45072</v>
      </c>
      <c r="B381" s="3">
        <v>-0.15481958872497525</v>
      </c>
      <c r="C381" s="3">
        <v>-6.1463949801319084E-2</v>
      </c>
      <c r="D381" s="3">
        <v>-0.38018699443218829</v>
      </c>
    </row>
    <row r="382" spans="1:4" x14ac:dyDescent="0.35">
      <c r="A382" s="5">
        <v>45075</v>
      </c>
      <c r="B382" s="3">
        <v>-0.15604820254105767</v>
      </c>
      <c r="C382" s="3">
        <v>-6.015947981750791E-2</v>
      </c>
      <c r="D382" s="3">
        <v>-0.37251812165143394</v>
      </c>
    </row>
    <row r="383" spans="1:4" x14ac:dyDescent="0.35">
      <c r="A383" s="5">
        <v>45076</v>
      </c>
      <c r="B383" s="3">
        <v>-0.15259822291190317</v>
      </c>
      <c r="C383" s="3">
        <v>-6.5524530725285191E-2</v>
      </c>
      <c r="D383" s="3">
        <v>-0.37482928879083943</v>
      </c>
    </row>
    <row r="384" spans="1:4" x14ac:dyDescent="0.35">
      <c r="A384" s="5">
        <v>45077</v>
      </c>
      <c r="B384" s="3">
        <v>-0.11904447903852222</v>
      </c>
      <c r="C384" s="3">
        <v>-7.2073639002983581E-2</v>
      </c>
      <c r="D384" s="3">
        <v>-0.36978674230486397</v>
      </c>
    </row>
    <row r="385" spans="1:4" x14ac:dyDescent="0.35">
      <c r="A385" s="5">
        <v>45078</v>
      </c>
      <c r="B385" s="3">
        <v>-0.12131461889518258</v>
      </c>
      <c r="C385" s="3">
        <v>-7.4823060353477855E-2</v>
      </c>
      <c r="D385" s="3">
        <v>-0.36957663620128167</v>
      </c>
    </row>
    <row r="386" spans="1:4" x14ac:dyDescent="0.35">
      <c r="A386" s="5">
        <v>45079</v>
      </c>
      <c r="B386" s="3">
        <v>-0.12828617130946063</v>
      </c>
      <c r="C386" s="3">
        <v>-7.5993738544077649E-2</v>
      </c>
      <c r="D386" s="3">
        <v>-0.36232797562769192</v>
      </c>
    </row>
    <row r="387" spans="1:4" x14ac:dyDescent="0.35">
      <c r="A387" s="5">
        <v>45082</v>
      </c>
      <c r="B387" s="3">
        <v>-0.12835911527969335</v>
      </c>
      <c r="C387" s="3">
        <v>-7.5993738544077649E-2</v>
      </c>
      <c r="D387" s="3">
        <v>-0.36232797562769192</v>
      </c>
    </row>
    <row r="388" spans="1:4" x14ac:dyDescent="0.35">
      <c r="A388" s="5">
        <v>45083</v>
      </c>
      <c r="B388" s="3">
        <v>-0.12490990754440379</v>
      </c>
      <c r="C388" s="3">
        <v>-7.4716026918908662E-2</v>
      </c>
      <c r="D388" s="3">
        <v>-0.3651644080260531</v>
      </c>
    </row>
    <row r="389" spans="1:4" x14ac:dyDescent="0.35">
      <c r="A389" s="5">
        <v>45084</v>
      </c>
      <c r="B389" s="3">
        <v>-0.12725000028257039</v>
      </c>
      <c r="C389" s="3">
        <v>-7.7739721445486465E-2</v>
      </c>
      <c r="D389" s="3">
        <v>-0.36852610568337008</v>
      </c>
    </row>
    <row r="390" spans="1:4" x14ac:dyDescent="0.35">
      <c r="A390" s="5">
        <v>45085</v>
      </c>
      <c r="B390" s="3">
        <v>-0.12495868158799195</v>
      </c>
      <c r="C390" s="3">
        <v>-8.0422246899375049E-2</v>
      </c>
      <c r="D390" s="3">
        <v>-0.37262317470322515</v>
      </c>
    </row>
    <row r="391" spans="1:4" x14ac:dyDescent="0.35">
      <c r="A391" s="5">
        <v>45086</v>
      </c>
      <c r="B391" s="3">
        <v>-0.12845661512350304</v>
      </c>
      <c r="C391" s="3">
        <v>-7.9458945988253094E-2</v>
      </c>
      <c r="D391" s="3">
        <v>-0.36695030990650279</v>
      </c>
    </row>
    <row r="392" spans="1:4" x14ac:dyDescent="0.35">
      <c r="A392" s="5">
        <v>45089</v>
      </c>
      <c r="B392" s="3">
        <v>-0.12852955394243881</v>
      </c>
      <c r="C392" s="3">
        <v>-7.2307774641103495E-2</v>
      </c>
      <c r="D392" s="3">
        <v>-0.36358861224918582</v>
      </c>
    </row>
    <row r="393" spans="1:4" x14ac:dyDescent="0.35">
      <c r="A393" s="5">
        <v>45090</v>
      </c>
      <c r="B393" s="3">
        <v>-0.13083175363211419</v>
      </c>
      <c r="C393" s="3">
        <v>-7.6428561872014744E-2</v>
      </c>
      <c r="D393" s="3">
        <v>-0.3415274713730434</v>
      </c>
    </row>
    <row r="394" spans="1:4" x14ac:dyDescent="0.35">
      <c r="A394" s="5">
        <v>45091</v>
      </c>
      <c r="B394" s="3">
        <v>-0.13313390586647467</v>
      </c>
      <c r="C394" s="3">
        <v>-7.3210869245280419E-2</v>
      </c>
      <c r="D394" s="3">
        <v>-0.33301817417795987</v>
      </c>
    </row>
    <row r="395" spans="1:4" x14ac:dyDescent="0.35">
      <c r="A395" s="5">
        <v>45092</v>
      </c>
      <c r="B395" s="3">
        <v>-0.11265741205867075</v>
      </c>
      <c r="C395" s="3">
        <v>-7.567932783003084E-2</v>
      </c>
      <c r="D395" s="3">
        <v>-0.34131736526946099</v>
      </c>
    </row>
    <row r="396" spans="1:4" x14ac:dyDescent="0.35">
      <c r="A396" s="5">
        <v>45093</v>
      </c>
      <c r="B396" s="3">
        <v>-0.11837682151590978</v>
      </c>
      <c r="C396" s="3">
        <v>-7.1076890143558558E-2</v>
      </c>
      <c r="D396" s="3">
        <v>-0.34110725916587881</v>
      </c>
    </row>
    <row r="397" spans="1:4" x14ac:dyDescent="0.35">
      <c r="A397" s="5">
        <v>45096</v>
      </c>
      <c r="B397" s="3">
        <v>-0.10592250631879863</v>
      </c>
      <c r="C397" s="3">
        <v>-7.1933157620111543E-2</v>
      </c>
      <c r="D397" s="3">
        <v>-0.3406870469587141</v>
      </c>
    </row>
    <row r="398" spans="1:4" x14ac:dyDescent="0.35">
      <c r="A398" s="5">
        <v>45097</v>
      </c>
      <c r="B398" s="3">
        <v>-0.1207535260499113</v>
      </c>
      <c r="C398" s="3">
        <v>-7.1264198654054534E-2</v>
      </c>
      <c r="D398" s="3">
        <v>-0.34930139720558884</v>
      </c>
    </row>
    <row r="399" spans="1:4" x14ac:dyDescent="0.35">
      <c r="A399" s="5">
        <v>45098</v>
      </c>
      <c r="B399" s="3">
        <v>-0.11280561500697017</v>
      </c>
      <c r="C399" s="3">
        <v>-6.7839128747842481E-2</v>
      </c>
      <c r="D399" s="3">
        <v>-0.34804076058409494</v>
      </c>
    </row>
    <row r="400" spans="1:4" x14ac:dyDescent="0.35">
      <c r="A400" s="5">
        <v>45099</v>
      </c>
      <c r="B400" s="3">
        <v>-0.11283038668132572</v>
      </c>
      <c r="C400" s="3">
        <v>-6.7022998809252887E-2</v>
      </c>
      <c r="D400" s="3">
        <v>-0.35161256434499422</v>
      </c>
    </row>
    <row r="401" spans="1:4" x14ac:dyDescent="0.35">
      <c r="A401" s="5">
        <v>45100</v>
      </c>
      <c r="B401" s="3">
        <v>-0.11171623079910453</v>
      </c>
      <c r="C401" s="3">
        <v>-6.9551663700948452E-2</v>
      </c>
      <c r="D401" s="3">
        <v>-0.3531883601218615</v>
      </c>
    </row>
    <row r="402" spans="1:4" x14ac:dyDescent="0.35">
      <c r="A402" s="5">
        <v>45103</v>
      </c>
      <c r="B402" s="3">
        <v>-0.11634639841442251</v>
      </c>
      <c r="C402" s="3">
        <v>-7.0227312256666008E-2</v>
      </c>
      <c r="D402" s="3">
        <v>-0.36085723290261573</v>
      </c>
    </row>
    <row r="403" spans="1:4" x14ac:dyDescent="0.35">
      <c r="A403" s="5">
        <v>45104</v>
      </c>
      <c r="B403" s="3">
        <v>-0.11751000273472523</v>
      </c>
      <c r="C403" s="3">
        <v>-7.2327843410085135E-2</v>
      </c>
      <c r="D403" s="3">
        <v>-0.36169765731694503</v>
      </c>
    </row>
    <row r="404" spans="1:4" x14ac:dyDescent="0.35">
      <c r="A404" s="5">
        <v>45105</v>
      </c>
      <c r="B404" s="3">
        <v>-0.11639570448655945</v>
      </c>
      <c r="C404" s="3">
        <v>-7.1237440295412235E-2</v>
      </c>
      <c r="D404" s="3">
        <v>-0.36211786952410963</v>
      </c>
    </row>
    <row r="405" spans="1:4" x14ac:dyDescent="0.35">
      <c r="A405" s="5">
        <v>45106</v>
      </c>
      <c r="B405" s="3">
        <v>-0.11642038125028531</v>
      </c>
      <c r="C405" s="3">
        <v>-7.1237440295412235E-2</v>
      </c>
      <c r="D405" s="3">
        <v>-0.36211786952410963</v>
      </c>
    </row>
    <row r="406" spans="1:4" x14ac:dyDescent="0.35">
      <c r="A406" s="5">
        <v>45107</v>
      </c>
      <c r="B406" s="3">
        <v>-0.11986184068374139</v>
      </c>
      <c r="C406" s="3">
        <v>-7.9057570608618732E-2</v>
      </c>
      <c r="D406" s="3">
        <v>-0.36033196764366004</v>
      </c>
    </row>
    <row r="407" spans="1:4" x14ac:dyDescent="0.35">
      <c r="A407" s="5">
        <v>45110</v>
      </c>
      <c r="B407" s="3">
        <v>-0.11760168640302959</v>
      </c>
      <c r="C407" s="3">
        <v>-6.6206868870663294E-2</v>
      </c>
      <c r="D407" s="3">
        <v>-0.35434394369156419</v>
      </c>
    </row>
    <row r="408" spans="1:4" x14ac:dyDescent="0.35">
      <c r="A408" s="5">
        <v>45111</v>
      </c>
      <c r="B408" s="3">
        <v>-0.11916030876420491</v>
      </c>
      <c r="C408" s="3">
        <v>-6.8481329355257303E-2</v>
      </c>
      <c r="D408" s="3">
        <v>-0.35098224603424721</v>
      </c>
    </row>
    <row r="409" spans="1:4" x14ac:dyDescent="0.35">
      <c r="A409" s="5">
        <v>45112</v>
      </c>
      <c r="B409" s="3">
        <v>-0.11799980564530799</v>
      </c>
      <c r="C409" s="3">
        <v>-7.0213933077344914E-2</v>
      </c>
      <c r="D409" s="3">
        <v>-0.35192772350036772</v>
      </c>
    </row>
    <row r="410" spans="1:4" x14ac:dyDescent="0.35">
      <c r="A410" s="5">
        <v>45113</v>
      </c>
      <c r="B410" s="3">
        <v>-0.11802445584839705</v>
      </c>
      <c r="C410" s="3">
        <v>-7.2856320993270218E-2</v>
      </c>
      <c r="D410" s="3">
        <v>-0.3545540497951466</v>
      </c>
    </row>
    <row r="411" spans="1:4" x14ac:dyDescent="0.35">
      <c r="A411" s="5">
        <v>45114</v>
      </c>
      <c r="B411" s="3">
        <v>-0.11804910605148633</v>
      </c>
      <c r="C411" s="3">
        <v>-7.839530123222227E-2</v>
      </c>
      <c r="D411" s="3">
        <v>-0.35665511083096957</v>
      </c>
    </row>
    <row r="412" spans="1:4" x14ac:dyDescent="0.35">
      <c r="A412" s="5">
        <v>45117</v>
      </c>
      <c r="B412" s="3">
        <v>-0.11338263298975615</v>
      </c>
      <c r="C412" s="3">
        <v>-7.478961240517501E-2</v>
      </c>
      <c r="D412" s="3">
        <v>-0.35434394369156419</v>
      </c>
    </row>
    <row r="413" spans="1:4" x14ac:dyDescent="0.35">
      <c r="A413" s="5">
        <v>45118</v>
      </c>
      <c r="B413" s="3">
        <v>-0.11222227208356939</v>
      </c>
      <c r="C413" s="3">
        <v>-6.9170357090295953E-2</v>
      </c>
      <c r="D413" s="3">
        <v>-0.34583464649648066</v>
      </c>
    </row>
    <row r="414" spans="1:4" x14ac:dyDescent="0.35">
      <c r="A414" s="5">
        <v>45119</v>
      </c>
      <c r="B414" s="3">
        <v>-9.0915157979878702E-2</v>
      </c>
      <c r="C414" s="3">
        <v>-6.4755227914319757E-2</v>
      </c>
      <c r="D414" s="3">
        <v>-0.34541443428931606</v>
      </c>
    </row>
    <row r="415" spans="1:4" x14ac:dyDescent="0.35">
      <c r="A415" s="5">
        <v>45120</v>
      </c>
      <c r="B415" s="3">
        <v>-7.7904354151274724E-2</v>
      </c>
      <c r="C415" s="3">
        <v>-6.5979422822204037E-2</v>
      </c>
      <c r="D415" s="3">
        <v>-0.33753545540497942</v>
      </c>
    </row>
    <row r="416" spans="1:4" x14ac:dyDescent="0.35">
      <c r="A416" s="5">
        <v>45121</v>
      </c>
      <c r="B416" s="3">
        <v>-5.3042870379070184E-2</v>
      </c>
      <c r="C416" s="3">
        <v>-5.5369733620539763E-2</v>
      </c>
      <c r="D416" s="3">
        <v>-0.30917113142136776</v>
      </c>
    </row>
    <row r="417" spans="1:4" x14ac:dyDescent="0.35">
      <c r="A417" s="5">
        <v>45124</v>
      </c>
      <c r="B417" s="3">
        <v>-6.141782428285858E-2</v>
      </c>
      <c r="C417" s="3">
        <v>-5.9376797827221273E-2</v>
      </c>
      <c r="D417" s="3">
        <v>-0.29793045487971426</v>
      </c>
    </row>
    <row r="418" spans="1:4" x14ac:dyDescent="0.35">
      <c r="A418" s="5">
        <v>45125</v>
      </c>
      <c r="B418" s="3">
        <v>-7.0924886167754719E-2</v>
      </c>
      <c r="C418" s="3">
        <v>-6.1430501853016239E-2</v>
      </c>
      <c r="D418" s="3">
        <v>-0.30213257695136031</v>
      </c>
    </row>
    <row r="419" spans="1:4" x14ac:dyDescent="0.35">
      <c r="A419" s="5">
        <v>45126</v>
      </c>
      <c r="B419" s="3">
        <v>-7.0950863689471677E-2</v>
      </c>
      <c r="C419" s="3">
        <v>-6.1430501853016239E-2</v>
      </c>
      <c r="D419" s="3">
        <v>-0.30213257695136031</v>
      </c>
    </row>
    <row r="420" spans="1:4" x14ac:dyDescent="0.35">
      <c r="A420" s="5">
        <v>45127</v>
      </c>
      <c r="B420" s="3">
        <v>-5.4385358362696756E-2</v>
      </c>
      <c r="C420" s="3">
        <v>-5.8982112037247569E-2</v>
      </c>
      <c r="D420" s="3">
        <v>-0.31211261687152003</v>
      </c>
    </row>
    <row r="421" spans="1:4" x14ac:dyDescent="0.35">
      <c r="A421" s="5">
        <v>45128</v>
      </c>
      <c r="B421" s="3">
        <v>-2.0043738312047421E-2</v>
      </c>
      <c r="C421" s="3">
        <v>-5.4413122299078132E-2</v>
      </c>
      <c r="D421" s="3">
        <v>-0.31673495115033079</v>
      </c>
    </row>
    <row r="422" spans="1:4" x14ac:dyDescent="0.35">
      <c r="A422" s="5">
        <v>45131</v>
      </c>
      <c r="B422" s="3">
        <v>-5.9045240327989523E-3</v>
      </c>
      <c r="C422" s="3">
        <v>-4.6940850648221177E-2</v>
      </c>
      <c r="D422" s="3">
        <v>-0.31978148965227438</v>
      </c>
    </row>
    <row r="423" spans="1:4" x14ac:dyDescent="0.35">
      <c r="A423" s="5">
        <v>45132</v>
      </c>
      <c r="B423" s="3">
        <v>-1.9406056519824522E-2</v>
      </c>
      <c r="C423" s="3">
        <v>-3.8846447158931263E-2</v>
      </c>
      <c r="D423" s="3">
        <v>-0.31936127744510967</v>
      </c>
    </row>
    <row r="424" spans="1:4" x14ac:dyDescent="0.35">
      <c r="A424" s="5">
        <v>45133</v>
      </c>
      <c r="B424" s="3">
        <v>-2.7018134042239406E-2</v>
      </c>
      <c r="C424" s="3">
        <v>-3.0484460083218479E-2</v>
      </c>
      <c r="D424" s="3">
        <v>-0.32345834646496474</v>
      </c>
    </row>
    <row r="425" spans="1:4" x14ac:dyDescent="0.35">
      <c r="A425" s="5">
        <v>45134</v>
      </c>
      <c r="B425" s="3">
        <v>-2.4329318331812733E-2</v>
      </c>
      <c r="C425" s="3">
        <v>-2.9159921330425553E-2</v>
      </c>
      <c r="D425" s="3">
        <v>-0.32429877087929415</v>
      </c>
    </row>
    <row r="426" spans="1:4" x14ac:dyDescent="0.35">
      <c r="A426" s="5">
        <v>45135</v>
      </c>
      <c r="B426" s="3">
        <v>-1.7340748734844147E-2</v>
      </c>
      <c r="C426" s="3">
        <v>-2.9775363579198078E-2</v>
      </c>
      <c r="D426" s="3">
        <v>-0.3285008929509402</v>
      </c>
    </row>
    <row r="427" spans="1:4" x14ac:dyDescent="0.35">
      <c r="A427" s="5">
        <v>45138</v>
      </c>
      <c r="B427" s="3">
        <v>-2.0753569352542245E-2</v>
      </c>
      <c r="C427" s="3">
        <v>-2.3701216167400174E-2</v>
      </c>
      <c r="D427" s="3">
        <v>-0.3287109990545225</v>
      </c>
    </row>
    <row r="428" spans="1:4" x14ac:dyDescent="0.35">
      <c r="A428" s="5">
        <v>45139</v>
      </c>
      <c r="B428" s="3">
        <v>-2.2169770924252874E-2</v>
      </c>
      <c r="C428" s="3">
        <v>-2.9179990099407194E-2</v>
      </c>
      <c r="D428" s="3">
        <v>-0.33049690093497219</v>
      </c>
    </row>
    <row r="429" spans="1:4" x14ac:dyDescent="0.35">
      <c r="A429" s="5">
        <v>45140</v>
      </c>
      <c r="B429" s="3">
        <v>-4.2106855182788339E-2</v>
      </c>
      <c r="C429" s="3">
        <v>-3.3648635992668208E-2</v>
      </c>
      <c r="D429" s="3">
        <v>-0.33469902300661836</v>
      </c>
    </row>
    <row r="430" spans="1:4" x14ac:dyDescent="0.35">
      <c r="A430" s="5">
        <v>45141</v>
      </c>
      <c r="B430" s="3">
        <v>-2.8386409930636014E-2</v>
      </c>
      <c r="C430" s="3">
        <v>-3.5461514790682713E-2</v>
      </c>
      <c r="D430" s="3">
        <v>-0.33133732534930138</v>
      </c>
    </row>
    <row r="431" spans="1:4" x14ac:dyDescent="0.35">
      <c r="A431" s="5">
        <v>45142</v>
      </c>
      <c r="B431" s="3">
        <v>-2.8887614925370619E-2</v>
      </c>
      <c r="C431" s="3">
        <v>-3.3213812664731002E-2</v>
      </c>
      <c r="D431" s="3">
        <v>-0.33070700703855449</v>
      </c>
    </row>
    <row r="432" spans="1:4" x14ac:dyDescent="0.35">
      <c r="A432" s="5">
        <v>45145</v>
      </c>
      <c r="B432" s="3">
        <v>-4.019442606119783E-2</v>
      </c>
      <c r="C432" s="3">
        <v>-3.2812437285096863E-2</v>
      </c>
      <c r="D432" s="3">
        <v>-0.33333333333333326</v>
      </c>
    </row>
    <row r="433" spans="1:4" x14ac:dyDescent="0.35">
      <c r="A433" s="5">
        <v>45146</v>
      </c>
      <c r="B433" s="3">
        <v>-3.9601877358898752E-2</v>
      </c>
      <c r="C433" s="3">
        <v>-2.9340540251260872E-2</v>
      </c>
      <c r="D433" s="3">
        <v>-0.33238785586721298</v>
      </c>
    </row>
    <row r="434" spans="1:4" x14ac:dyDescent="0.35">
      <c r="A434" s="5">
        <v>45147</v>
      </c>
      <c r="B434" s="3">
        <v>-3.673855255386449E-2</v>
      </c>
      <c r="C434" s="3">
        <v>-2.1961922855652016E-2</v>
      </c>
      <c r="D434" s="3">
        <v>-0.32724025632944631</v>
      </c>
    </row>
    <row r="435" spans="1:4" x14ac:dyDescent="0.35">
      <c r="A435" s="5">
        <v>45148</v>
      </c>
      <c r="B435" s="3">
        <v>-3.5526783851768662E-2</v>
      </c>
      <c r="C435" s="3">
        <v>-2.4035695650428734E-2</v>
      </c>
      <c r="D435" s="3">
        <v>-0.32745036243302872</v>
      </c>
    </row>
    <row r="436" spans="1:4" x14ac:dyDescent="0.35">
      <c r="A436" s="5">
        <v>45149</v>
      </c>
      <c r="B436" s="3">
        <v>-1.6768150188104403E-2</v>
      </c>
      <c r="C436" s="3">
        <v>-2.5219753020349622E-2</v>
      </c>
      <c r="D436" s="3">
        <v>-0.32366845256854715</v>
      </c>
    </row>
    <row r="437" spans="1:4" x14ac:dyDescent="0.35">
      <c r="A437" s="5">
        <v>45152</v>
      </c>
      <c r="B437" s="3">
        <v>-9.0989135524035536E-3</v>
      </c>
      <c r="C437" s="3">
        <v>-2.5326786454918815E-2</v>
      </c>
      <c r="D437" s="3">
        <v>-0.32230276289526205</v>
      </c>
    </row>
    <row r="438" spans="1:4" x14ac:dyDescent="0.35">
      <c r="A438" s="5">
        <v>45153</v>
      </c>
      <c r="B438" s="3">
        <v>9.0397685245333648E-3</v>
      </c>
      <c r="C438" s="3">
        <v>-2.3132601046251811E-2</v>
      </c>
      <c r="D438" s="3">
        <v>-0.3175753755646602</v>
      </c>
    </row>
    <row r="439" spans="1:4" x14ac:dyDescent="0.35">
      <c r="A439" s="5">
        <v>45154</v>
      </c>
      <c r="B439" s="3">
        <v>2.2407040901362363E-2</v>
      </c>
      <c r="C439" s="3">
        <v>-2.097186358588754E-2</v>
      </c>
      <c r="D439" s="3">
        <v>-0.32240781594705326</v>
      </c>
    </row>
    <row r="440" spans="1:4" x14ac:dyDescent="0.35">
      <c r="A440" s="5">
        <v>45155</v>
      </c>
      <c r="B440" s="3">
        <v>2.5314594029901771E-2</v>
      </c>
      <c r="C440" s="3">
        <v>-3.1360796328753104E-2</v>
      </c>
      <c r="D440" s="3">
        <v>-0.32986658262422519</v>
      </c>
    </row>
    <row r="441" spans="1:4" x14ac:dyDescent="0.35">
      <c r="A441" s="5">
        <v>45156</v>
      </c>
      <c r="B441" s="3">
        <v>4.4061423216285478E-2</v>
      </c>
      <c r="C441" s="3">
        <v>-3.2625128774600998E-2</v>
      </c>
      <c r="D441" s="3">
        <v>-0.33585460657632105</v>
      </c>
    </row>
    <row r="442" spans="1:4" x14ac:dyDescent="0.35">
      <c r="A442" s="5">
        <v>45159</v>
      </c>
      <c r="B442" s="3">
        <v>3.553072224985776E-2</v>
      </c>
      <c r="C442" s="3">
        <v>-2.9628192606665493E-2</v>
      </c>
      <c r="D442" s="3">
        <v>-0.3401617816997583</v>
      </c>
    </row>
    <row r="443" spans="1:4" x14ac:dyDescent="0.35">
      <c r="A443" s="5">
        <v>45160</v>
      </c>
      <c r="B443" s="3">
        <v>4.2159480152322182E-2</v>
      </c>
      <c r="C443" s="3">
        <v>-2.8985991999250671E-2</v>
      </c>
      <c r="D443" s="3">
        <v>-0.33196764366004827</v>
      </c>
    </row>
    <row r="444" spans="1:4" x14ac:dyDescent="0.35">
      <c r="A444" s="5">
        <v>45161</v>
      </c>
      <c r="B444" s="3">
        <v>4.9664921278754326E-2</v>
      </c>
      <c r="C444" s="3">
        <v>-3.6625503391621961E-2</v>
      </c>
      <c r="D444" s="3">
        <v>-0.33301817417795987</v>
      </c>
    </row>
    <row r="445" spans="1:4" x14ac:dyDescent="0.35">
      <c r="A445" s="5">
        <v>45162</v>
      </c>
      <c r="B445" s="3">
        <v>4.2999043579105667E-2</v>
      </c>
      <c r="C445" s="3">
        <v>-3.357505050640186E-2</v>
      </c>
      <c r="D445" s="3">
        <v>-0.32986658262422519</v>
      </c>
    </row>
    <row r="446" spans="1:4" x14ac:dyDescent="0.35">
      <c r="A446" s="5">
        <v>45163</v>
      </c>
      <c r="B446" s="3">
        <v>2.8355981818726894E-2</v>
      </c>
      <c r="C446" s="3">
        <v>-3.3748979837576631E-2</v>
      </c>
      <c r="D446" s="3">
        <v>-0.33616976573169455</v>
      </c>
    </row>
    <row r="447" spans="1:4" x14ac:dyDescent="0.35">
      <c r="A447" s="5">
        <v>45166</v>
      </c>
      <c r="B447" s="3">
        <v>3.3971430962004279E-2</v>
      </c>
      <c r="C447" s="3">
        <v>-3.3983115475696657E-2</v>
      </c>
      <c r="D447" s="3">
        <v>-0.34257800189095489</v>
      </c>
    </row>
    <row r="448" spans="1:4" x14ac:dyDescent="0.35">
      <c r="A448" s="5">
        <v>45167</v>
      </c>
      <c r="B448" s="3">
        <v>3.3496992539372439E-2</v>
      </c>
      <c r="C448" s="3">
        <v>-2.7039321408024675E-2</v>
      </c>
      <c r="D448" s="3">
        <v>-0.33648492488706794</v>
      </c>
    </row>
    <row r="449" spans="1:4" x14ac:dyDescent="0.35">
      <c r="A449" s="5">
        <v>45168</v>
      </c>
      <c r="B449" s="3">
        <v>3.4300563744760204E-4</v>
      </c>
      <c r="C449" s="3">
        <v>-2.8711718823167254E-2</v>
      </c>
      <c r="D449" s="3">
        <v>-0.32692509717407292</v>
      </c>
    </row>
    <row r="450" spans="1:4" x14ac:dyDescent="0.35">
      <c r="A450" s="5">
        <v>45169</v>
      </c>
      <c r="B450" s="3">
        <v>3.1520638426330017E-4</v>
      </c>
      <c r="C450" s="3">
        <v>-2.8711718823167254E-2</v>
      </c>
      <c r="D450" s="3">
        <v>-0.32692509717407292</v>
      </c>
    </row>
    <row r="451" spans="1:4" x14ac:dyDescent="0.35">
      <c r="A451" s="5">
        <v>45170</v>
      </c>
      <c r="B451" s="3">
        <v>-1.2936463783313701E-2</v>
      </c>
      <c r="C451" s="3">
        <v>-2.1025380303172136E-2</v>
      </c>
      <c r="D451" s="3">
        <v>-0.3294463704170606</v>
      </c>
    </row>
    <row r="452" spans="1:4" x14ac:dyDescent="0.35">
      <c r="A452" s="5">
        <v>45173</v>
      </c>
      <c r="B452" s="3">
        <v>2.2762267718980933E-3</v>
      </c>
      <c r="C452" s="3">
        <v>-2.1500341169072623E-2</v>
      </c>
      <c r="D452" s="3">
        <v>-0.32965647652064289</v>
      </c>
    </row>
    <row r="453" spans="1:4" x14ac:dyDescent="0.35">
      <c r="A453" s="5">
        <v>45174</v>
      </c>
      <c r="B453" s="3">
        <v>-7.1192200012250018E-3</v>
      </c>
      <c r="C453" s="3">
        <v>-2.6778427411262573E-2</v>
      </c>
      <c r="D453" s="3">
        <v>-0.33175753755646598</v>
      </c>
    </row>
    <row r="454" spans="1:4" x14ac:dyDescent="0.35">
      <c r="A454" s="5">
        <v>45175</v>
      </c>
      <c r="B454" s="3">
        <v>-5.3903348447399413E-3</v>
      </c>
      <c r="C454" s="3">
        <v>-2.2905154997792443E-2</v>
      </c>
      <c r="D454" s="3">
        <v>-0.33123227229751029</v>
      </c>
    </row>
    <row r="455" spans="1:4" x14ac:dyDescent="0.35">
      <c r="A455" s="5">
        <v>45176</v>
      </c>
      <c r="B455" s="3">
        <v>-1.0394497043643036E-2</v>
      </c>
      <c r="C455" s="3">
        <v>-2.3273082429123737E-2</v>
      </c>
      <c r="D455" s="3">
        <v>-0.33427881079945376</v>
      </c>
    </row>
    <row r="456" spans="1:4" x14ac:dyDescent="0.35">
      <c r="A456" s="5">
        <v>45177</v>
      </c>
      <c r="B456" s="3">
        <v>-1.7943670464112604E-2</v>
      </c>
      <c r="C456" s="3">
        <v>-2.6698152335335679E-2</v>
      </c>
      <c r="D456" s="3">
        <v>-0.34446895682319567</v>
      </c>
    </row>
    <row r="457" spans="1:4" x14ac:dyDescent="0.35">
      <c r="A457" s="5">
        <v>45180</v>
      </c>
      <c r="B457" s="3">
        <v>-1.4512656463186779E-2</v>
      </c>
      <c r="C457" s="3">
        <v>-2.6637946028390536E-2</v>
      </c>
      <c r="D457" s="3">
        <v>-0.34268305494274609</v>
      </c>
    </row>
    <row r="458" spans="1:4" x14ac:dyDescent="0.35">
      <c r="A458" s="5">
        <v>45181</v>
      </c>
      <c r="B458" s="3">
        <v>-9.8562092254026457E-3</v>
      </c>
      <c r="C458" s="3">
        <v>-2.7741728322384529E-2</v>
      </c>
      <c r="D458" s="3">
        <v>-0.3412123122176699</v>
      </c>
    </row>
    <row r="459" spans="1:4" x14ac:dyDescent="0.35">
      <c r="A459" s="5">
        <v>45182</v>
      </c>
      <c r="B459" s="3">
        <v>-8.2703539502512191E-3</v>
      </c>
      <c r="C459" s="3">
        <v>-2.7641384477476105E-2</v>
      </c>
      <c r="D459" s="3">
        <v>-0.3410022061140876</v>
      </c>
    </row>
    <row r="460" spans="1:4" x14ac:dyDescent="0.35">
      <c r="A460" s="5">
        <v>45183</v>
      </c>
      <c r="B460" s="3">
        <v>-1.3067396942080256E-3</v>
      </c>
      <c r="C460" s="3">
        <v>-3.0290461983061956E-2</v>
      </c>
      <c r="D460" s="3">
        <v>-0.33995167559617612</v>
      </c>
    </row>
    <row r="461" spans="1:4" x14ac:dyDescent="0.35">
      <c r="A461" s="5">
        <v>45184</v>
      </c>
      <c r="B461" s="3">
        <v>-8.86336239811647E-3</v>
      </c>
      <c r="C461" s="3">
        <v>-2.3968799753823045E-2</v>
      </c>
      <c r="D461" s="3">
        <v>-0.33995167559617612</v>
      </c>
    </row>
    <row r="462" spans="1:4" x14ac:dyDescent="0.35">
      <c r="A462" s="5">
        <v>45187</v>
      </c>
      <c r="B462" s="3">
        <v>5.0363587392456832E-3</v>
      </c>
      <c r="C462" s="3">
        <v>-2.4664517078522352E-2</v>
      </c>
      <c r="D462" s="3">
        <v>-0.33890114507826452</v>
      </c>
    </row>
    <row r="463" spans="1:4" x14ac:dyDescent="0.35">
      <c r="A463" s="5">
        <v>45188</v>
      </c>
      <c r="B463" s="3">
        <v>6.890699973947978E-3</v>
      </c>
      <c r="C463" s="3">
        <v>-2.4885273537321062E-2</v>
      </c>
      <c r="D463" s="3">
        <v>-0.33869103897468222</v>
      </c>
    </row>
    <row r="464" spans="1:4" x14ac:dyDescent="0.35">
      <c r="A464" s="5">
        <v>45189</v>
      </c>
      <c r="B464" s="3">
        <v>1.9927017589910223E-2</v>
      </c>
      <c r="C464" s="3">
        <v>-2.8965923230269031E-2</v>
      </c>
      <c r="D464" s="3">
        <v>-0.33511923521378295</v>
      </c>
    </row>
    <row r="465" spans="1:4" x14ac:dyDescent="0.35">
      <c r="A465" s="5">
        <v>45190</v>
      </c>
      <c r="B465" s="3">
        <v>1.0702609043123701E-2</v>
      </c>
      <c r="C465" s="3">
        <v>-3.1206935766559973E-2</v>
      </c>
      <c r="D465" s="3">
        <v>-0.33448891690303595</v>
      </c>
    </row>
    <row r="466" spans="1:4" x14ac:dyDescent="0.35">
      <c r="A466" s="5">
        <v>45191</v>
      </c>
      <c r="B466" s="3">
        <v>1.4417018854479657E-2</v>
      </c>
      <c r="C466" s="3">
        <v>-2.9855638655124861E-2</v>
      </c>
      <c r="D466" s="3">
        <v>-0.33574955352452995</v>
      </c>
    </row>
    <row r="467" spans="1:4" x14ac:dyDescent="0.35">
      <c r="A467" s="5">
        <v>45194</v>
      </c>
      <c r="B467" s="3">
        <v>2.6882376944643349E-2</v>
      </c>
      <c r="C467" s="3">
        <v>-3.4391180444991454E-2</v>
      </c>
      <c r="D467" s="3">
        <v>-0.33995167559617612</v>
      </c>
    </row>
    <row r="468" spans="1:4" x14ac:dyDescent="0.35">
      <c r="A468" s="5">
        <v>45195</v>
      </c>
      <c r="B468" s="3">
        <v>2.2282756690185312E-2</v>
      </c>
      <c r="C468" s="3">
        <v>-3.2986366616271745E-2</v>
      </c>
      <c r="D468" s="3">
        <v>-0.34037188780334071</v>
      </c>
    </row>
    <row r="469" spans="1:4" x14ac:dyDescent="0.35">
      <c r="A469" s="5">
        <v>45196</v>
      </c>
      <c r="B469" s="3">
        <v>1.5320459991680302E-2</v>
      </c>
      <c r="C469" s="3">
        <v>-3.6625503391621961E-2</v>
      </c>
      <c r="D469" s="3">
        <v>-0.34268305494274609</v>
      </c>
    </row>
    <row r="470" spans="1:4" x14ac:dyDescent="0.35">
      <c r="A470" s="5">
        <v>45197</v>
      </c>
      <c r="B470" s="3">
        <v>1.5292253504792797E-2</v>
      </c>
      <c r="C470" s="3">
        <v>-3.6625503391621961E-2</v>
      </c>
      <c r="D470" s="3">
        <v>-0.34268305494274609</v>
      </c>
    </row>
    <row r="471" spans="1:4" x14ac:dyDescent="0.35">
      <c r="A471" s="5">
        <v>45198</v>
      </c>
      <c r="B471" s="3">
        <v>3.1225073479170362E-2</v>
      </c>
      <c r="C471" s="3">
        <v>-4.7288709310570831E-2</v>
      </c>
      <c r="D471" s="3">
        <v>-0.33932135728542911</v>
      </c>
    </row>
    <row r="472" spans="1:4" x14ac:dyDescent="0.35">
      <c r="A472" s="5">
        <v>45201</v>
      </c>
      <c r="B472" s="3">
        <v>3.2345669609794347E-2</v>
      </c>
      <c r="C472" s="3">
        <v>-5.0907777316939296E-2</v>
      </c>
      <c r="D472" s="3">
        <v>-0.34436390377140458</v>
      </c>
    </row>
    <row r="473" spans="1:4" x14ac:dyDescent="0.35">
      <c r="A473" s="5">
        <v>45202</v>
      </c>
      <c r="B473" s="3">
        <v>3.6477153604284274E-2</v>
      </c>
      <c r="C473" s="3">
        <v>-5.0071578609368061E-2</v>
      </c>
      <c r="D473" s="3">
        <v>-0.34646496480722766</v>
      </c>
    </row>
    <row r="474" spans="1:4" x14ac:dyDescent="0.35">
      <c r="A474" s="5">
        <v>45203</v>
      </c>
      <c r="B474" s="3">
        <v>1.0554773709562371E-2</v>
      </c>
      <c r="C474" s="3">
        <v>-5.2861137497825839E-2</v>
      </c>
      <c r="D474" s="3">
        <v>-0.3539237314843996</v>
      </c>
    </row>
    <row r="475" spans="1:4" x14ac:dyDescent="0.35">
      <c r="A475" s="5">
        <v>45204</v>
      </c>
      <c r="B475" s="3">
        <v>1.7481577021326578E-2</v>
      </c>
      <c r="C475" s="3">
        <v>-5.3021687649679516E-2</v>
      </c>
      <c r="D475" s="3">
        <v>-0.3538186784326085</v>
      </c>
    </row>
    <row r="476" spans="1:4" x14ac:dyDescent="0.35">
      <c r="A476" s="5">
        <v>45205</v>
      </c>
      <c r="B476" s="3">
        <v>2.5144464774022435E-2</v>
      </c>
      <c r="C476" s="3">
        <v>-5.216542017312642E-2</v>
      </c>
      <c r="D476" s="3">
        <v>-0.35066708687887382</v>
      </c>
    </row>
    <row r="477" spans="1:4" x14ac:dyDescent="0.35">
      <c r="A477" s="5">
        <v>45208</v>
      </c>
      <c r="B477" s="3">
        <v>2.9924697966918323E-2</v>
      </c>
      <c r="C477" s="3">
        <v>-5.1911215766024865E-2</v>
      </c>
      <c r="D477" s="3">
        <v>-0.35161256434499422</v>
      </c>
    </row>
    <row r="478" spans="1:4" x14ac:dyDescent="0.35">
      <c r="A478" s="5">
        <v>45209</v>
      </c>
      <c r="B478" s="3">
        <v>3.1836796621862451E-2</v>
      </c>
      <c r="C478" s="3">
        <v>-3.9930160683943505E-2</v>
      </c>
      <c r="D478" s="3">
        <v>-0.34804076058409494</v>
      </c>
    </row>
    <row r="479" spans="1:4" x14ac:dyDescent="0.35">
      <c r="A479" s="5">
        <v>45210</v>
      </c>
      <c r="B479" s="3">
        <v>3.8201621310230749E-2</v>
      </c>
      <c r="C479" s="3">
        <v>-3.9047134848748333E-2</v>
      </c>
      <c r="D479" s="3">
        <v>-0.34488916903036038</v>
      </c>
    </row>
    <row r="480" spans="1:4" x14ac:dyDescent="0.35">
      <c r="A480" s="5">
        <v>45211</v>
      </c>
      <c r="B480" s="3">
        <v>4.5902126675085642E-2</v>
      </c>
      <c r="C480" s="3">
        <v>-3.4143665627550335E-2</v>
      </c>
      <c r="D480" s="3">
        <v>-0.34236789578737259</v>
      </c>
    </row>
    <row r="481" spans="1:4" x14ac:dyDescent="0.35">
      <c r="A481" s="5">
        <v>45212</v>
      </c>
      <c r="B481" s="3">
        <v>3.8903933255899581E-2</v>
      </c>
      <c r="C481" s="3">
        <v>-3.3929598758412061E-2</v>
      </c>
      <c r="D481" s="3">
        <v>-0.34278810799453718</v>
      </c>
    </row>
    <row r="482" spans="1:4" x14ac:dyDescent="0.35">
      <c r="A482" s="5">
        <v>45215</v>
      </c>
      <c r="B482" s="3">
        <v>2.8599530861806333E-2</v>
      </c>
      <c r="C482" s="3">
        <v>-3.7394806202587394E-2</v>
      </c>
      <c r="D482" s="3">
        <v>-0.34541443428931606</v>
      </c>
    </row>
    <row r="483" spans="1:4" x14ac:dyDescent="0.35">
      <c r="A483" s="5">
        <v>45216</v>
      </c>
      <c r="B483" s="3">
        <v>3.2233946108348954E-2</v>
      </c>
      <c r="C483" s="3">
        <v>-3.3936288348072607E-2</v>
      </c>
      <c r="D483" s="3">
        <v>-0.3422628427355815</v>
      </c>
    </row>
    <row r="484" spans="1:4" x14ac:dyDescent="0.35">
      <c r="A484" s="5">
        <v>45217</v>
      </c>
      <c r="B484" s="3">
        <v>1.4639470966985035E-2</v>
      </c>
      <c r="C484" s="3">
        <v>-3.2324097239875282E-2</v>
      </c>
      <c r="D484" s="3">
        <v>-0.34699023006618346</v>
      </c>
    </row>
    <row r="485" spans="1:4" x14ac:dyDescent="0.35">
      <c r="A485" s="5">
        <v>45218</v>
      </c>
      <c r="B485" s="3">
        <v>1.0511939645109436E-2</v>
      </c>
      <c r="C485" s="3">
        <v>-3.4919658028176426E-2</v>
      </c>
      <c r="D485" s="3">
        <v>-0.35077213993066503</v>
      </c>
    </row>
    <row r="486" spans="1:4" x14ac:dyDescent="0.35">
      <c r="A486" s="5">
        <v>45219</v>
      </c>
      <c r="B486" s="3">
        <v>5.0840596999111032E-3</v>
      </c>
      <c r="C486" s="3">
        <v>-3.600337155318889E-2</v>
      </c>
      <c r="D486" s="3">
        <v>-0.35150751129320312</v>
      </c>
    </row>
    <row r="487" spans="1:4" x14ac:dyDescent="0.35">
      <c r="A487" s="5">
        <v>45222</v>
      </c>
      <c r="B487" s="3">
        <v>-9.7886642348776753E-3</v>
      </c>
      <c r="C487" s="3">
        <v>-3.7956731734075433E-2</v>
      </c>
      <c r="D487" s="3">
        <v>-0.35581468641664038</v>
      </c>
    </row>
    <row r="488" spans="1:4" x14ac:dyDescent="0.35">
      <c r="A488" s="5">
        <v>45223</v>
      </c>
      <c r="B488" s="3">
        <v>3.3813720267377168E-3</v>
      </c>
      <c r="C488" s="3">
        <v>-3.960906038023615E-2</v>
      </c>
      <c r="D488" s="3">
        <v>-0.34961655636096234</v>
      </c>
    </row>
    <row r="489" spans="1:4" x14ac:dyDescent="0.35">
      <c r="A489" s="5">
        <v>45224</v>
      </c>
      <c r="B489" s="3">
        <v>2.5248251823219992E-3</v>
      </c>
      <c r="C489" s="3">
        <v>-3.5020001873085072E-2</v>
      </c>
      <c r="D489" s="3">
        <v>-0.34520432818573377</v>
      </c>
    </row>
    <row r="490" spans="1:4" x14ac:dyDescent="0.35">
      <c r="A490" s="5">
        <v>45225</v>
      </c>
      <c r="B490" s="3">
        <v>6.2174280719760056E-3</v>
      </c>
      <c r="C490" s="3">
        <v>-3.6297713498254058E-2</v>
      </c>
      <c r="D490" s="3">
        <v>-0.34762054837693035</v>
      </c>
    </row>
    <row r="491" spans="1:4" x14ac:dyDescent="0.35">
      <c r="A491" s="5">
        <v>45226</v>
      </c>
      <c r="B491" s="3">
        <v>1.4525031683675582E-2</v>
      </c>
      <c r="C491" s="3">
        <v>-3.5428066842379757E-2</v>
      </c>
      <c r="D491" s="3">
        <v>-0.35224288265574122</v>
      </c>
    </row>
    <row r="492" spans="1:4" x14ac:dyDescent="0.35">
      <c r="A492" s="5">
        <v>45229</v>
      </c>
      <c r="B492" s="3">
        <v>9.5195726004626557E-4</v>
      </c>
      <c r="C492" s="3">
        <v>-3.7234256050733716E-2</v>
      </c>
      <c r="D492" s="3">
        <v>-0.35938649017753965</v>
      </c>
    </row>
    <row r="493" spans="1:4" x14ac:dyDescent="0.35">
      <c r="A493" s="5">
        <v>45230</v>
      </c>
      <c r="B493" s="3">
        <v>4.4856465772467047E-3</v>
      </c>
      <c r="C493" s="3">
        <v>-3.526751669052608E-2</v>
      </c>
      <c r="D493" s="3">
        <v>-0.35697026998634307</v>
      </c>
    </row>
    <row r="494" spans="1:4" x14ac:dyDescent="0.35">
      <c r="A494" s="5">
        <v>45231</v>
      </c>
      <c r="B494" s="3">
        <v>-5.7820793172141949E-3</v>
      </c>
      <c r="C494" s="3">
        <v>-3.9823127249374535E-2</v>
      </c>
      <c r="D494" s="3">
        <v>-0.36358861224918582</v>
      </c>
    </row>
    <row r="495" spans="1:4" x14ac:dyDescent="0.35">
      <c r="A495" s="5">
        <v>45232</v>
      </c>
      <c r="B495" s="3">
        <v>6.154050865500027E-3</v>
      </c>
      <c r="C495" s="3">
        <v>-3.6852949440081328E-2</v>
      </c>
      <c r="D495" s="3">
        <v>-0.35686521693455198</v>
      </c>
    </row>
    <row r="496" spans="1:4" x14ac:dyDescent="0.35">
      <c r="A496" s="5">
        <v>45233</v>
      </c>
      <c r="B496" s="3">
        <v>2.9549544403486339E-2</v>
      </c>
      <c r="C496" s="3">
        <v>-3.005632634494193E-2</v>
      </c>
      <c r="D496" s="3">
        <v>-0.35224288265574122</v>
      </c>
    </row>
    <row r="497" spans="1:4" x14ac:dyDescent="0.35">
      <c r="A497" s="5">
        <v>45236</v>
      </c>
      <c r="B497" s="3">
        <v>3.7349456810814807E-2</v>
      </c>
      <c r="C497" s="3">
        <v>-2.0195871185261338E-2</v>
      </c>
      <c r="D497" s="3">
        <v>-0.33995167559617612</v>
      </c>
    </row>
    <row r="498" spans="1:4" x14ac:dyDescent="0.35">
      <c r="A498" s="5">
        <v>45237</v>
      </c>
      <c r="B498" s="3">
        <v>3.1362191586527866E-2</v>
      </c>
      <c r="C498" s="3">
        <v>-2.1065517841135639E-2</v>
      </c>
      <c r="D498" s="3">
        <v>-0.3408971530622964</v>
      </c>
    </row>
    <row r="499" spans="1:4" x14ac:dyDescent="0.35">
      <c r="A499" s="5">
        <v>45238</v>
      </c>
      <c r="B499" s="3">
        <v>3.156313002384814E-2</v>
      </c>
      <c r="C499" s="3">
        <v>-2.4925411075284676E-2</v>
      </c>
      <c r="D499" s="3">
        <v>-0.33953146338901141</v>
      </c>
    </row>
    <row r="500" spans="1:4" x14ac:dyDescent="0.35">
      <c r="A500" s="5">
        <v>45239</v>
      </c>
      <c r="B500" s="3">
        <v>3.765315605615438E-2</v>
      </c>
      <c r="C500" s="3">
        <v>-2.8490962364368544E-2</v>
      </c>
      <c r="D500" s="3">
        <v>-0.34236789578737259</v>
      </c>
    </row>
    <row r="501" spans="1:4" x14ac:dyDescent="0.35">
      <c r="A501" s="5">
        <v>45240</v>
      </c>
      <c r="B501" s="3">
        <v>4.1517624452382496E-2</v>
      </c>
      <c r="C501" s="3">
        <v>-3.3233881433712753E-2</v>
      </c>
      <c r="D501" s="3">
        <v>-0.34499422208215147</v>
      </c>
    </row>
    <row r="502" spans="1:4" x14ac:dyDescent="0.35">
      <c r="A502" s="5">
        <v>45243</v>
      </c>
      <c r="B502" s="3">
        <v>4.1430989643556959E-2</v>
      </c>
      <c r="C502" s="3">
        <v>-3.3233881433712753E-2</v>
      </c>
      <c r="D502" s="3">
        <v>-0.34499422208215147</v>
      </c>
    </row>
    <row r="503" spans="1:4" x14ac:dyDescent="0.35">
      <c r="A503" s="5">
        <v>45244</v>
      </c>
      <c r="B503" s="3">
        <v>3.3161640912334533E-2</v>
      </c>
      <c r="C503" s="3">
        <v>-2.8858889795699838E-2</v>
      </c>
      <c r="D503" s="3">
        <v>-0.34257800189095489</v>
      </c>
    </row>
    <row r="504" spans="1:4" x14ac:dyDescent="0.35">
      <c r="A504" s="5">
        <v>45245</v>
      </c>
      <c r="B504" s="3">
        <v>6.5207502349332369E-2</v>
      </c>
      <c r="C504" s="3">
        <v>-1.8744230228917802E-2</v>
      </c>
      <c r="D504" s="3">
        <v>-0.33764050845677074</v>
      </c>
    </row>
    <row r="505" spans="1:4" x14ac:dyDescent="0.35">
      <c r="A505" s="5">
        <v>45246</v>
      </c>
      <c r="B505" s="3">
        <v>5.391484704560856E-2</v>
      </c>
      <c r="C505" s="3">
        <v>-2.0189181595600791E-2</v>
      </c>
      <c r="D505" s="3">
        <v>-0.33953146338901141</v>
      </c>
    </row>
    <row r="506" spans="1:4" x14ac:dyDescent="0.35">
      <c r="A506" s="5">
        <v>45247</v>
      </c>
      <c r="B506" s="3">
        <v>4.3700766466897134E-2</v>
      </c>
      <c r="C506" s="3">
        <v>-2.2871707049489487E-2</v>
      </c>
      <c r="D506" s="3">
        <v>-0.34299821409811959</v>
      </c>
    </row>
    <row r="507" spans="1:4" x14ac:dyDescent="0.35">
      <c r="A507" s="5">
        <v>45250</v>
      </c>
      <c r="B507" s="3">
        <v>4.5558248171380766E-2</v>
      </c>
      <c r="C507" s="3">
        <v>-2.53803031722033E-2</v>
      </c>
      <c r="D507" s="3">
        <v>-0.33690513709423264</v>
      </c>
    </row>
    <row r="508" spans="1:4" x14ac:dyDescent="0.35">
      <c r="A508" s="5">
        <v>45251</v>
      </c>
      <c r="B508" s="3">
        <v>4.8746718925096966E-2</v>
      </c>
      <c r="C508" s="3">
        <v>-2.1045449072153777E-2</v>
      </c>
      <c r="D508" s="3">
        <v>-0.33186259060825718</v>
      </c>
    </row>
    <row r="509" spans="1:4" x14ac:dyDescent="0.35">
      <c r="A509" s="5">
        <v>45252</v>
      </c>
      <c r="B509" s="3">
        <v>4.8734985138841669E-2</v>
      </c>
      <c r="C509" s="3">
        <v>-2.6069330907242061E-2</v>
      </c>
      <c r="D509" s="3">
        <v>-0.32965647652064289</v>
      </c>
    </row>
    <row r="510" spans="1:4" x14ac:dyDescent="0.35">
      <c r="A510" s="5">
        <v>45253</v>
      </c>
      <c r="B510" s="3">
        <v>3.9742088285906085E-2</v>
      </c>
      <c r="C510" s="3">
        <v>-2.780862421899033E-2</v>
      </c>
      <c r="D510" s="3">
        <v>-0.33932135728542911</v>
      </c>
    </row>
    <row r="511" spans="1:4" x14ac:dyDescent="0.35">
      <c r="A511" s="5">
        <v>45254</v>
      </c>
      <c r="B511" s="3">
        <v>3.4391269569267191E-2</v>
      </c>
      <c r="C511" s="3">
        <v>-2.7387180070374328E-2</v>
      </c>
      <c r="D511" s="3">
        <v>-0.33711524319781483</v>
      </c>
    </row>
    <row r="512" spans="1:4" x14ac:dyDescent="0.35">
      <c r="A512" s="5">
        <v>45257</v>
      </c>
      <c r="B512" s="3">
        <v>2.3042024739425848E-2</v>
      </c>
      <c r="C512" s="3">
        <v>-3.1247073304523365E-2</v>
      </c>
      <c r="D512" s="3">
        <v>-0.34005672864796721</v>
      </c>
    </row>
    <row r="513" spans="1:4" x14ac:dyDescent="0.35">
      <c r="A513" s="5">
        <v>45258</v>
      </c>
      <c r="B513" s="3">
        <v>1.8575101744376266E-2</v>
      </c>
      <c r="C513" s="3">
        <v>-3.1334037970110806E-2</v>
      </c>
      <c r="D513" s="3">
        <v>-0.34079210001050531</v>
      </c>
    </row>
    <row r="514" spans="1:4" x14ac:dyDescent="0.35">
      <c r="A514" s="5">
        <v>45259</v>
      </c>
      <c r="B514" s="3">
        <v>1.376868402946152E-2</v>
      </c>
      <c r="C514" s="3">
        <v>-3.2638507953922091E-2</v>
      </c>
      <c r="D514" s="3">
        <v>-0.34341842630528419</v>
      </c>
    </row>
    <row r="515" spans="1:4" x14ac:dyDescent="0.35">
      <c r="A515" s="5">
        <v>45260</v>
      </c>
      <c r="B515" s="3">
        <v>-1.7385407601028469E-2</v>
      </c>
      <c r="C515" s="3">
        <v>-2.8176551650321735E-2</v>
      </c>
      <c r="D515" s="3">
        <v>-0.34341842630528419</v>
      </c>
    </row>
    <row r="516" spans="1:4" x14ac:dyDescent="0.35">
      <c r="A516" s="5">
        <v>45261</v>
      </c>
      <c r="B516" s="3">
        <v>-2.3383967201283218E-2</v>
      </c>
      <c r="C516" s="3">
        <v>-2.5741541013874047E-2</v>
      </c>
      <c r="D516" s="3">
        <v>-0.34520432818573377</v>
      </c>
    </row>
    <row r="517" spans="1:4" x14ac:dyDescent="0.35">
      <c r="A517" s="5">
        <v>45264</v>
      </c>
      <c r="B517" s="3">
        <v>-3.080786148383674E-2</v>
      </c>
      <c r="C517" s="3">
        <v>-2.9327161071939778E-2</v>
      </c>
      <c r="D517" s="3">
        <v>-0.34940645025737993</v>
      </c>
    </row>
    <row r="518" spans="1:4" x14ac:dyDescent="0.35">
      <c r="A518" s="5">
        <v>45265</v>
      </c>
      <c r="B518" s="3">
        <v>-3.3267572227414055E-2</v>
      </c>
      <c r="C518" s="3">
        <v>-3.0370737058988739E-2</v>
      </c>
      <c r="D518" s="3">
        <v>-0.34835591973946844</v>
      </c>
    </row>
    <row r="519" spans="1:4" x14ac:dyDescent="0.35">
      <c r="A519" s="5">
        <v>45266</v>
      </c>
      <c r="B519" s="3">
        <v>-3.3428431881004195E-2</v>
      </c>
      <c r="C519" s="3">
        <v>-3.2805747695436316E-2</v>
      </c>
      <c r="D519" s="3">
        <v>-0.34783065448051265</v>
      </c>
    </row>
    <row r="520" spans="1:4" x14ac:dyDescent="0.35">
      <c r="A520" s="5">
        <v>45267</v>
      </c>
      <c r="B520" s="3">
        <v>-3.0651850699625394E-2</v>
      </c>
      <c r="C520" s="3">
        <v>-3.4792555824625704E-2</v>
      </c>
      <c r="D520" s="3">
        <v>-0.35266309486290581</v>
      </c>
    </row>
    <row r="521" spans="1:4" x14ac:dyDescent="0.35">
      <c r="A521" s="5">
        <v>45268</v>
      </c>
      <c r="B521" s="3">
        <v>-3.0457430094220084E-2</v>
      </c>
      <c r="C521" s="3">
        <v>-3.5381239714755819E-2</v>
      </c>
      <c r="D521" s="3">
        <v>-0.35150751129320312</v>
      </c>
    </row>
    <row r="522" spans="1:4" x14ac:dyDescent="0.35">
      <c r="A522" s="5">
        <v>45271</v>
      </c>
      <c r="B522" s="3">
        <v>-3.0661844875812694E-2</v>
      </c>
      <c r="C522" s="3">
        <v>-3.2424441084783706E-2</v>
      </c>
      <c r="D522" s="3">
        <v>-0.34614980565185416</v>
      </c>
    </row>
    <row r="523" spans="1:4" x14ac:dyDescent="0.35">
      <c r="A523" s="5">
        <v>45272</v>
      </c>
      <c r="B523" s="3">
        <v>-2.8592563400703264E-2</v>
      </c>
      <c r="C523" s="3">
        <v>-3.1936101039562237E-2</v>
      </c>
      <c r="D523" s="3">
        <v>-0.34404874461603108</v>
      </c>
    </row>
    <row r="524" spans="1:4" x14ac:dyDescent="0.35">
      <c r="A524" s="5">
        <v>45273</v>
      </c>
      <c r="B524" s="3">
        <v>-3.3853057324349956E-2</v>
      </c>
      <c r="C524" s="3">
        <v>-3.1320658790789713E-2</v>
      </c>
      <c r="D524" s="3">
        <v>-0.34257800189095489</v>
      </c>
    </row>
    <row r="525" spans="1:4" x14ac:dyDescent="0.35">
      <c r="A525" s="5">
        <v>45274</v>
      </c>
      <c r="B525" s="3">
        <v>-2.9724467376216035E-2</v>
      </c>
      <c r="C525" s="3">
        <v>-2.5821816089800942E-2</v>
      </c>
      <c r="D525" s="3">
        <v>-0.33921630423363802</v>
      </c>
    </row>
    <row r="526" spans="1:4" x14ac:dyDescent="0.35">
      <c r="A526" s="5">
        <v>45275</v>
      </c>
      <c r="B526" s="3">
        <v>-1.9088461806360923E-2</v>
      </c>
      <c r="C526" s="3">
        <v>-2.1680960089907941E-2</v>
      </c>
      <c r="D526" s="3">
        <v>-0.33648492488706794</v>
      </c>
    </row>
    <row r="527" spans="1:4" x14ac:dyDescent="0.35">
      <c r="A527" s="5">
        <v>45278</v>
      </c>
      <c r="B527" s="3">
        <v>-1.4607090143278434E-2</v>
      </c>
      <c r="C527" s="3">
        <v>-1.9787806215966652E-2</v>
      </c>
      <c r="D527" s="3">
        <v>-0.33680008404244144</v>
      </c>
    </row>
    <row r="528" spans="1:4" x14ac:dyDescent="0.35">
      <c r="A528" s="5">
        <v>45279</v>
      </c>
      <c r="B528" s="3">
        <v>-1.8150533780109779E-2</v>
      </c>
      <c r="C528" s="3">
        <v>-1.9526912219204329E-2</v>
      </c>
      <c r="D528" s="3">
        <v>-0.3412123122176699</v>
      </c>
    </row>
    <row r="529" spans="1:4" x14ac:dyDescent="0.35">
      <c r="A529" s="5">
        <v>45280</v>
      </c>
      <c r="B529" s="3">
        <v>-2.5117490939525755E-2</v>
      </c>
      <c r="C529" s="3">
        <v>-2.0269456671527686E-2</v>
      </c>
      <c r="D529" s="3">
        <v>-0.33816577371572643</v>
      </c>
    </row>
    <row r="530" spans="1:4" x14ac:dyDescent="0.35">
      <c r="A530" s="5">
        <v>45281</v>
      </c>
      <c r="B530" s="3">
        <v>-3.1028114493793946E-2</v>
      </c>
      <c r="C530" s="3">
        <v>-2.6276708186719788E-2</v>
      </c>
      <c r="D530" s="3">
        <v>-0.33585460657632105</v>
      </c>
    </row>
    <row r="531" spans="1:4" x14ac:dyDescent="0.35">
      <c r="A531" s="5">
        <v>45282</v>
      </c>
      <c r="B531" s="3">
        <v>-3.5306066558082105E-2</v>
      </c>
      <c r="C531" s="3">
        <v>-2.7079458945988066E-2</v>
      </c>
      <c r="D531" s="3">
        <v>-0.33585460657632105</v>
      </c>
    </row>
    <row r="532" spans="1:4" x14ac:dyDescent="0.35">
      <c r="A532" s="5">
        <v>45285</v>
      </c>
      <c r="B532" s="3">
        <v>-3.5409671439616486E-2</v>
      </c>
      <c r="C532" s="3">
        <v>-2.7079458945988066E-2</v>
      </c>
      <c r="D532" s="3">
        <v>-0.33585460657632105</v>
      </c>
    </row>
    <row r="533" spans="1:4" x14ac:dyDescent="0.35">
      <c r="A533" s="5">
        <v>45286</v>
      </c>
      <c r="B533" s="3">
        <v>-2.5102774938572048E-2</v>
      </c>
      <c r="C533" s="3">
        <v>-2.9487711223793456E-2</v>
      </c>
      <c r="D533" s="3">
        <v>-0.33658997793885914</v>
      </c>
    </row>
    <row r="534" spans="1:4" x14ac:dyDescent="0.35">
      <c r="A534" s="5">
        <v>45287</v>
      </c>
      <c r="B534" s="3">
        <v>-2.9056932633674926E-2</v>
      </c>
      <c r="C534" s="3">
        <v>-2.7186492380557259E-2</v>
      </c>
      <c r="D534" s="3">
        <v>-0.33732534930139724</v>
      </c>
    </row>
    <row r="535" spans="1:4" x14ac:dyDescent="0.35">
      <c r="A535" s="5">
        <v>45288</v>
      </c>
      <c r="B535" s="3">
        <v>-2.9955561526444074E-2</v>
      </c>
      <c r="C535" s="3">
        <v>-2.5052513278835398E-2</v>
      </c>
      <c r="D535" s="3">
        <v>-0.33238785586721298</v>
      </c>
    </row>
    <row r="536" spans="1:4" x14ac:dyDescent="0.35">
      <c r="A536" s="5">
        <v>45289</v>
      </c>
      <c r="B536" s="3">
        <v>-3.975364435422668E-2</v>
      </c>
      <c r="C536" s="3">
        <v>-2.6892150435492201E-2</v>
      </c>
      <c r="D536" s="3">
        <v>-0.33406870469587135</v>
      </c>
    </row>
    <row r="537" spans="1:4" x14ac:dyDescent="0.35">
      <c r="A537" s="5">
        <v>45292</v>
      </c>
      <c r="B537" s="3">
        <v>-3.9856931624229652E-2</v>
      </c>
      <c r="C537" s="3">
        <v>-2.6892150435492201E-2</v>
      </c>
      <c r="D537" s="3">
        <v>-0.33406870469587135</v>
      </c>
    </row>
    <row r="538" spans="1:4" x14ac:dyDescent="0.35">
      <c r="A538" s="5">
        <v>45293</v>
      </c>
      <c r="B538" s="3">
        <v>-4.4158259897227103E-2</v>
      </c>
      <c r="C538" s="3">
        <v>-2.7935726422541274E-2</v>
      </c>
      <c r="D538" s="3">
        <v>-0.33701019014602374</v>
      </c>
    </row>
    <row r="539" spans="1:4" x14ac:dyDescent="0.35">
      <c r="A539" s="5">
        <v>45294</v>
      </c>
      <c r="B539" s="3">
        <v>-2.8921820688228239E-2</v>
      </c>
      <c r="C539" s="3">
        <v>-2.1734476807192649E-2</v>
      </c>
      <c r="D539" s="3">
        <v>-0.33974156949259371</v>
      </c>
    </row>
    <row r="540" spans="1:4" x14ac:dyDescent="0.35">
      <c r="A540" s="5">
        <v>45295</v>
      </c>
      <c r="B540" s="3">
        <v>-2.9331327822680553E-2</v>
      </c>
      <c r="C540" s="3">
        <v>-1.1773677802603522E-2</v>
      </c>
      <c r="D540" s="3">
        <v>-0.3412123122176699</v>
      </c>
    </row>
    <row r="541" spans="1:4" x14ac:dyDescent="0.35">
      <c r="A541" s="5">
        <v>45296</v>
      </c>
      <c r="B541" s="3">
        <v>-3.2008581291147253E-2</v>
      </c>
      <c r="C541" s="3">
        <v>-4.8499525039134017E-3</v>
      </c>
      <c r="D541" s="3">
        <v>-0.33123227229751029</v>
      </c>
    </row>
    <row r="542" spans="1:4" x14ac:dyDescent="0.35">
      <c r="A542" s="5">
        <v>45299</v>
      </c>
      <c r="B542" s="3">
        <v>-1.6829036894468796E-2</v>
      </c>
      <c r="C542" s="3">
        <v>5.619255314879279E-4</v>
      </c>
      <c r="D542" s="3">
        <v>-0.33018174177959869</v>
      </c>
    </row>
    <row r="543" spans="1:4" x14ac:dyDescent="0.35">
      <c r="A543" s="5">
        <v>45300</v>
      </c>
      <c r="B543" s="3">
        <v>-2.1698148715053378E-2</v>
      </c>
      <c r="C543" s="3">
        <v>2.6557670952462864E-3</v>
      </c>
      <c r="D543" s="3">
        <v>-0.32934131736526939</v>
      </c>
    </row>
    <row r="544" spans="1:4" x14ac:dyDescent="0.35">
      <c r="A544" s="5">
        <v>45301</v>
      </c>
      <c r="B544" s="3">
        <v>-2.5252221751134729E-2</v>
      </c>
      <c r="C544" s="3">
        <v>-5.3516717284561865E-3</v>
      </c>
      <c r="D544" s="3">
        <v>-0.3294463704170606</v>
      </c>
    </row>
    <row r="545" spans="1:4" x14ac:dyDescent="0.35">
      <c r="A545" s="5">
        <v>45302</v>
      </c>
      <c r="B545" s="3">
        <v>-2.5337892168197595E-2</v>
      </c>
      <c r="C545" s="3">
        <v>-7.9338533374362363E-3</v>
      </c>
      <c r="D545" s="3">
        <v>-0.32545435444899684</v>
      </c>
    </row>
    <row r="546" spans="1:4" x14ac:dyDescent="0.35">
      <c r="A546" s="5">
        <v>45303</v>
      </c>
      <c r="B546" s="3">
        <v>-2.8484575480036023E-2</v>
      </c>
      <c r="C546" s="3">
        <v>-5.0305714247488309E-3</v>
      </c>
      <c r="D546" s="3">
        <v>-0.32776552158840211</v>
      </c>
    </row>
    <row r="547" spans="1:4" x14ac:dyDescent="0.35">
      <c r="A547" s="5">
        <v>45306</v>
      </c>
      <c r="B547" s="3">
        <v>-2.6236436364558524E-2</v>
      </c>
      <c r="C547" s="3">
        <v>4.1809935378562813E-3</v>
      </c>
      <c r="D547" s="3">
        <v>-0.32629477886332603</v>
      </c>
    </row>
    <row r="548" spans="1:4" x14ac:dyDescent="0.35">
      <c r="A548" s="5">
        <v>45307</v>
      </c>
      <c r="B548" s="3">
        <v>-2.7859325419371972E-2</v>
      </c>
      <c r="C548" s="3">
        <v>-6.6226937639646266E-4</v>
      </c>
      <c r="D548" s="3">
        <v>-0.32997163567601639</v>
      </c>
    </row>
    <row r="549" spans="1:4" x14ac:dyDescent="0.35">
      <c r="A549" s="5">
        <v>45308</v>
      </c>
      <c r="B549" s="3">
        <v>-2.7758600215722073E-2</v>
      </c>
      <c r="C549" s="3">
        <v>-2.4417002261080123E-3</v>
      </c>
      <c r="D549" s="3">
        <v>-0.33616976573169455</v>
      </c>
    </row>
    <row r="550" spans="1:4" x14ac:dyDescent="0.35">
      <c r="A550" s="5">
        <v>45309</v>
      </c>
      <c r="B550" s="3">
        <v>-4.8884912358939325E-2</v>
      </c>
      <c r="C550" s="3">
        <v>-1.0489276587773988E-2</v>
      </c>
      <c r="D550" s="3">
        <v>-0.34383863851244878</v>
      </c>
    </row>
    <row r="551" spans="1:4" x14ac:dyDescent="0.35">
      <c r="A551" s="5">
        <v>45310</v>
      </c>
      <c r="B551" s="3">
        <v>-4.5376702427988413E-2</v>
      </c>
      <c r="C551" s="3">
        <v>-5.679461621824089E-3</v>
      </c>
      <c r="D551" s="3">
        <v>-0.33543439436915645</v>
      </c>
    </row>
    <row r="552" spans="1:4" x14ac:dyDescent="0.35">
      <c r="A552" s="5">
        <v>45313</v>
      </c>
      <c r="B552" s="3">
        <v>-3.2739151335615113E-2</v>
      </c>
      <c r="C552" s="3">
        <v>-2.4550794054292169E-3</v>
      </c>
      <c r="D552" s="3">
        <v>-0.3291312112616871</v>
      </c>
    </row>
    <row r="553" spans="1:4" x14ac:dyDescent="0.35">
      <c r="A553" s="5">
        <v>45314</v>
      </c>
      <c r="B553" s="3">
        <v>-3.9938790702915949E-2</v>
      </c>
      <c r="C553" s="3">
        <v>8.3619870757134507E-4</v>
      </c>
      <c r="D553" s="3">
        <v>-0.33018174177959869</v>
      </c>
    </row>
    <row r="554" spans="1:4" x14ac:dyDescent="0.35">
      <c r="A554" s="5">
        <v>45315</v>
      </c>
      <c r="B554" s="3">
        <v>-3.9188528743502871E-2</v>
      </c>
      <c r="C554" s="3">
        <v>6.1811808463669848E-3</v>
      </c>
      <c r="D554" s="3">
        <v>-0.33175753755646598</v>
      </c>
    </row>
    <row r="555" spans="1:4" x14ac:dyDescent="0.35">
      <c r="A555" s="5">
        <v>45316</v>
      </c>
      <c r="B555" s="3">
        <v>-3.9225985730103163E-2</v>
      </c>
      <c r="C555" s="3">
        <v>6.1811808463669848E-3</v>
      </c>
      <c r="D555" s="3">
        <v>-0.33175753755646598</v>
      </c>
    </row>
    <row r="556" spans="1:4" x14ac:dyDescent="0.35">
      <c r="A556" s="5">
        <v>45317</v>
      </c>
      <c r="B556" s="3">
        <v>-2.8998238022676981E-2</v>
      </c>
      <c r="C556" s="3">
        <v>7.6395113923712898E-3</v>
      </c>
      <c r="D556" s="3">
        <v>-0.33438386385124486</v>
      </c>
    </row>
    <row r="557" spans="1:4" x14ac:dyDescent="0.35">
      <c r="A557" s="5">
        <v>45320</v>
      </c>
      <c r="B557" s="3">
        <v>-2.2335722103134614E-2</v>
      </c>
      <c r="C557" s="3">
        <v>1.3733727573150833E-2</v>
      </c>
      <c r="D557" s="3">
        <v>-0.33627481878348564</v>
      </c>
    </row>
    <row r="558" spans="1:4" x14ac:dyDescent="0.35">
      <c r="A558" s="5">
        <v>45321</v>
      </c>
      <c r="B558" s="3">
        <v>-2.1124372896574206E-2</v>
      </c>
      <c r="C558" s="3">
        <v>1.1967675902760266E-2</v>
      </c>
      <c r="D558" s="3">
        <v>-0.33827082676751752</v>
      </c>
    </row>
    <row r="559" spans="1:4" x14ac:dyDescent="0.35">
      <c r="A559" s="5">
        <v>45322</v>
      </c>
      <c r="B559" s="3">
        <v>-2.5719004831745051E-2</v>
      </c>
      <c r="C559" s="3">
        <v>1.2121536464953397E-2</v>
      </c>
      <c r="D559" s="3">
        <v>-0.34877613194663304</v>
      </c>
    </row>
    <row r="560" spans="1:4" x14ac:dyDescent="0.35">
      <c r="A560" s="5">
        <v>45323</v>
      </c>
      <c r="B560" s="3">
        <v>-2.5756842952182613E-2</v>
      </c>
      <c r="C560" s="3">
        <v>1.2121536464953397E-2</v>
      </c>
      <c r="D560" s="3">
        <v>-0.34877613194663304</v>
      </c>
    </row>
    <row r="561" spans="1:4" x14ac:dyDescent="0.35">
      <c r="A561" s="5">
        <v>45324</v>
      </c>
      <c r="B561" s="3">
        <v>-2.3610699486480535E-2</v>
      </c>
      <c r="C561" s="3">
        <v>1.4529788742758454E-2</v>
      </c>
      <c r="D561" s="3">
        <v>-0.34961655636096234</v>
      </c>
    </row>
    <row r="562" spans="1:4" x14ac:dyDescent="0.35">
      <c r="A562" s="5">
        <v>45327</v>
      </c>
      <c r="B562" s="3">
        <v>-2.70002920975142E-2</v>
      </c>
      <c r="C562" s="3">
        <v>1.1024443760619729E-2</v>
      </c>
      <c r="D562" s="3">
        <v>-0.35150751129320312</v>
      </c>
    </row>
    <row r="563" spans="1:4" x14ac:dyDescent="0.35">
      <c r="A563" s="5">
        <v>45328</v>
      </c>
      <c r="B563" s="3">
        <v>-2.6766551184524756E-2</v>
      </c>
      <c r="C563" s="3">
        <v>1.2121536464953397E-2</v>
      </c>
      <c r="D563" s="3">
        <v>-0.34972160941275343</v>
      </c>
    </row>
    <row r="564" spans="1:4" x14ac:dyDescent="0.35">
      <c r="A564" s="5">
        <v>45329</v>
      </c>
      <c r="B564" s="3">
        <v>-2.9175846391021554E-2</v>
      </c>
      <c r="C564" s="3">
        <v>1.2208501130540617E-2</v>
      </c>
      <c r="D564" s="3">
        <v>-0.34867107889484183</v>
      </c>
    </row>
    <row r="565" spans="1:4" x14ac:dyDescent="0.35">
      <c r="A565" s="5">
        <v>45330</v>
      </c>
      <c r="B565" s="3">
        <v>-1.6369368312161181E-2</v>
      </c>
      <c r="C565" s="3">
        <v>1.1706781905997943E-2</v>
      </c>
      <c r="D565" s="3">
        <v>-0.34604475260006307</v>
      </c>
    </row>
    <row r="566" spans="1:4" x14ac:dyDescent="0.35">
      <c r="A566" s="5">
        <v>45331</v>
      </c>
      <c r="B566" s="3">
        <v>-4.6135068308837957E-3</v>
      </c>
      <c r="C566" s="3">
        <v>1.1653265188713346E-2</v>
      </c>
      <c r="D566" s="3">
        <v>-0.34331337325349298</v>
      </c>
    </row>
    <row r="567" spans="1:4" x14ac:dyDescent="0.35">
      <c r="A567" s="5">
        <v>45334</v>
      </c>
      <c r="B567" s="3">
        <v>-4.7287998167726553E-3</v>
      </c>
      <c r="C567" s="3">
        <v>1.1653265188713346E-2</v>
      </c>
      <c r="D567" s="3">
        <v>-0.34331337325349298</v>
      </c>
    </row>
    <row r="568" spans="1:4" x14ac:dyDescent="0.35">
      <c r="A568" s="5">
        <v>45335</v>
      </c>
      <c r="B568" s="3">
        <v>2.7644030615925352E-4</v>
      </c>
      <c r="C568" s="3">
        <v>2.4423691850741891E-2</v>
      </c>
      <c r="D568" s="3">
        <v>-0.33942641033722021</v>
      </c>
    </row>
    <row r="569" spans="1:4" x14ac:dyDescent="0.35">
      <c r="A569" s="5">
        <v>45336</v>
      </c>
      <c r="B569" s="3">
        <v>2.9566369748166288E-3</v>
      </c>
      <c r="C569" s="3">
        <v>2.3059015559985463E-2</v>
      </c>
      <c r="D569" s="3">
        <v>-0.34436390377140458</v>
      </c>
    </row>
    <row r="570" spans="1:4" x14ac:dyDescent="0.35">
      <c r="A570" s="5">
        <v>45337</v>
      </c>
      <c r="B570" s="3">
        <v>7.2224290331257546E-3</v>
      </c>
      <c r="C570" s="3">
        <v>2.2423504542231631E-2</v>
      </c>
      <c r="D570" s="3">
        <v>-0.33827082676751752</v>
      </c>
    </row>
    <row r="571" spans="1:4" x14ac:dyDescent="0.35">
      <c r="A571" s="5">
        <v>45338</v>
      </c>
      <c r="B571" s="3">
        <v>8.1328288965671902E-3</v>
      </c>
      <c r="C571" s="3">
        <v>2.5882022396746196E-2</v>
      </c>
      <c r="D571" s="3">
        <v>-0.33680008404244144</v>
      </c>
    </row>
    <row r="572" spans="1:4" x14ac:dyDescent="0.35">
      <c r="A572" s="5">
        <v>45341</v>
      </c>
      <c r="B572" s="3">
        <v>9.7091419883823527E-3</v>
      </c>
      <c r="C572" s="3">
        <v>2.9266954764994635E-2</v>
      </c>
      <c r="D572" s="3">
        <v>-0.33848093287109993</v>
      </c>
    </row>
    <row r="573" spans="1:4" x14ac:dyDescent="0.35">
      <c r="A573" s="5">
        <v>45342</v>
      </c>
      <c r="B573" s="3">
        <v>8.838950979815019E-3</v>
      </c>
      <c r="C573" s="3">
        <v>4.0625878008643035E-2</v>
      </c>
      <c r="D573" s="3">
        <v>-0.33364849248870676</v>
      </c>
    </row>
    <row r="574" spans="1:4" x14ac:dyDescent="0.35">
      <c r="A574" s="5">
        <v>45343</v>
      </c>
      <c r="B574" s="3">
        <v>3.4796670400472074E-3</v>
      </c>
      <c r="C574" s="3">
        <v>3.8491898906921174E-2</v>
      </c>
      <c r="D574" s="3">
        <v>-0.33123227229751029</v>
      </c>
    </row>
    <row r="575" spans="1:4" x14ac:dyDescent="0.35">
      <c r="A575" s="5">
        <v>45344</v>
      </c>
      <c r="B575" s="3">
        <v>-1.2621642651070575E-3</v>
      </c>
      <c r="C575" s="3">
        <v>3.3869392451467029E-2</v>
      </c>
      <c r="D575" s="3">
        <v>-0.31032671499107045</v>
      </c>
    </row>
    <row r="576" spans="1:4" x14ac:dyDescent="0.35">
      <c r="A576" s="5">
        <v>45345</v>
      </c>
      <c r="B576" s="3">
        <v>2.6047937470741189E-3</v>
      </c>
      <c r="C576" s="3">
        <v>3.6291023908593401E-2</v>
      </c>
      <c r="D576" s="3">
        <v>-0.31200756381972905</v>
      </c>
    </row>
    <row r="577" spans="1:4" x14ac:dyDescent="0.35">
      <c r="A577" s="5">
        <v>45348</v>
      </c>
      <c r="B577" s="3">
        <v>1.0425930441487097E-2</v>
      </c>
      <c r="C577" s="3">
        <v>3.5280895869847395E-2</v>
      </c>
      <c r="D577" s="3">
        <v>-0.32072696711839477</v>
      </c>
    </row>
    <row r="578" spans="1:4" x14ac:dyDescent="0.35">
      <c r="A578" s="5">
        <v>45349</v>
      </c>
      <c r="B578" s="3">
        <v>1.4403940481568567E-2</v>
      </c>
      <c r="C578" s="3">
        <v>4.277323628968599E-2</v>
      </c>
      <c r="D578" s="3">
        <v>-0.32072696711839477</v>
      </c>
    </row>
    <row r="579" spans="1:4" x14ac:dyDescent="0.35">
      <c r="A579" s="5">
        <v>45350</v>
      </c>
      <c r="B579" s="3">
        <v>4.0660048423835082E-3</v>
      </c>
      <c r="C579" s="3">
        <v>3.3936288348072718E-2</v>
      </c>
      <c r="D579" s="3">
        <v>-0.32471898308645863</v>
      </c>
    </row>
    <row r="580" spans="1:4" x14ac:dyDescent="0.35">
      <c r="A580" s="5">
        <v>45351</v>
      </c>
      <c r="B580" s="3">
        <v>1.2139601830492008E-2</v>
      </c>
      <c r="C580" s="3">
        <v>3.7849698299506462E-2</v>
      </c>
      <c r="D580" s="3">
        <v>-0.32146233848093286</v>
      </c>
    </row>
    <row r="581" spans="1:4" x14ac:dyDescent="0.35">
      <c r="A581" s="5">
        <v>45352</v>
      </c>
      <c r="B581" s="3">
        <v>1.3451018109259749E-2</v>
      </c>
      <c r="C581" s="3">
        <v>2.8872268975021154E-2</v>
      </c>
      <c r="D581" s="3">
        <v>-0.32608467275974362</v>
      </c>
    </row>
    <row r="582" spans="1:4" x14ac:dyDescent="0.35">
      <c r="A582" s="5">
        <v>45355</v>
      </c>
      <c r="B582" s="3">
        <v>1.0833832817556788E-2</v>
      </c>
      <c r="C582" s="3">
        <v>2.9708467682592499E-2</v>
      </c>
      <c r="D582" s="3">
        <v>-0.33133732534930138</v>
      </c>
    </row>
    <row r="583" spans="1:4" x14ac:dyDescent="0.35">
      <c r="A583" s="5">
        <v>45356</v>
      </c>
      <c r="B583" s="3">
        <v>2.3698636576546361E-2</v>
      </c>
      <c r="C583" s="3">
        <v>2.8176551650321846E-2</v>
      </c>
      <c r="D583" s="3">
        <v>-0.32860594600273141</v>
      </c>
    </row>
    <row r="584" spans="1:4" x14ac:dyDescent="0.35">
      <c r="A584" s="5">
        <v>45357</v>
      </c>
      <c r="B584" s="3">
        <v>3.0392131682420054E-2</v>
      </c>
      <c r="C584" s="3">
        <v>2.451734610598999E-2</v>
      </c>
      <c r="D584" s="3">
        <v>-0.33490912911020065</v>
      </c>
    </row>
    <row r="585" spans="1:4" x14ac:dyDescent="0.35">
      <c r="A585" s="5">
        <v>45358</v>
      </c>
      <c r="B585" s="3">
        <v>2.6744466931591937E-2</v>
      </c>
      <c r="C585" s="3">
        <v>2.7407248839356191E-2</v>
      </c>
      <c r="D585" s="3">
        <v>-0.33438386385124486</v>
      </c>
    </row>
    <row r="586" spans="1:4" x14ac:dyDescent="0.35">
      <c r="A586" s="5">
        <v>45359</v>
      </c>
      <c r="B586" s="3">
        <v>2.9665791388690632E-2</v>
      </c>
      <c r="C586" s="3">
        <v>3.010315347256598E-2</v>
      </c>
      <c r="D586" s="3">
        <v>-0.33049690093497219</v>
      </c>
    </row>
    <row r="587" spans="1:4" x14ac:dyDescent="0.35">
      <c r="A587" s="5">
        <v>45362</v>
      </c>
      <c r="B587" s="3">
        <v>2.5092891362904046E-2</v>
      </c>
      <c r="C587" s="3">
        <v>3.3347604457942603E-2</v>
      </c>
      <c r="D587" s="3">
        <v>-0.33417375774766256</v>
      </c>
    </row>
    <row r="588" spans="1:4" x14ac:dyDescent="0.35">
      <c r="A588" s="5">
        <v>45363</v>
      </c>
      <c r="B588" s="3">
        <v>2.6140543560171814E-2</v>
      </c>
      <c r="C588" s="3">
        <v>3.9936850273604163E-2</v>
      </c>
      <c r="D588" s="3">
        <v>-0.33795566761214413</v>
      </c>
    </row>
    <row r="589" spans="1:4" x14ac:dyDescent="0.35">
      <c r="A589" s="5">
        <v>45364</v>
      </c>
      <c r="B589" s="3">
        <v>1.8590010965508608E-2</v>
      </c>
      <c r="C589" s="3">
        <v>2.8945854461287501E-2</v>
      </c>
      <c r="D589" s="3">
        <v>-0.33501418216199186</v>
      </c>
    </row>
    <row r="590" spans="1:4" x14ac:dyDescent="0.35">
      <c r="A590" s="5">
        <v>45365</v>
      </c>
      <c r="B590" s="3">
        <v>1.5929128462334852E-2</v>
      </c>
      <c r="C590" s="3">
        <v>3.2705403850527892E-2</v>
      </c>
      <c r="D590" s="3">
        <v>-0.33669503099065023</v>
      </c>
    </row>
    <row r="591" spans="1:4" x14ac:dyDescent="0.35">
      <c r="A591" s="5">
        <v>45366</v>
      </c>
      <c r="B591" s="3">
        <v>1.881590153424173E-2</v>
      </c>
      <c r="C591" s="3">
        <v>3.8779551262325684E-2</v>
      </c>
      <c r="D591" s="3">
        <v>-0.33637987183527673</v>
      </c>
    </row>
    <row r="592" spans="1:4" x14ac:dyDescent="0.35">
      <c r="A592" s="5">
        <v>45369</v>
      </c>
      <c r="B592" s="3">
        <v>2.1974865966690738E-2</v>
      </c>
      <c r="C592" s="3">
        <v>3.9321408024831861E-2</v>
      </c>
      <c r="D592" s="3">
        <v>-0.33532934131736525</v>
      </c>
    </row>
    <row r="593" spans="1:4" x14ac:dyDescent="0.35">
      <c r="A593" s="5">
        <v>45370</v>
      </c>
      <c r="B593" s="3">
        <v>1.6685271493782183E-2</v>
      </c>
      <c r="C593" s="3">
        <v>3.3514844199456828E-2</v>
      </c>
      <c r="D593" s="3">
        <v>-0.33532934131736525</v>
      </c>
    </row>
    <row r="594" spans="1:4" x14ac:dyDescent="0.35">
      <c r="A594" s="5">
        <v>45371</v>
      </c>
      <c r="B594" s="3">
        <v>2.4945375336827613E-2</v>
      </c>
      <c r="C594" s="3">
        <v>2.7380490480714004E-2</v>
      </c>
      <c r="D594" s="3">
        <v>-0.33186259060825718</v>
      </c>
    </row>
    <row r="595" spans="1:4" x14ac:dyDescent="0.35">
      <c r="A595" s="5">
        <v>45372</v>
      </c>
      <c r="B595" s="3">
        <v>2.7889946972422308E-2</v>
      </c>
      <c r="C595" s="3">
        <v>3.1140039869954395E-2</v>
      </c>
      <c r="D595" s="3">
        <v>-0.32513919529362334</v>
      </c>
    </row>
    <row r="596" spans="1:4" x14ac:dyDescent="0.35">
      <c r="A596" s="5">
        <v>45373</v>
      </c>
      <c r="B596" s="3">
        <v>2.9444643166944839E-2</v>
      </c>
      <c r="C596" s="3">
        <v>3.1795619656690421E-2</v>
      </c>
      <c r="D596" s="3">
        <v>-0.32072696711839477</v>
      </c>
    </row>
    <row r="597" spans="1:4" x14ac:dyDescent="0.35">
      <c r="A597" s="5">
        <v>45376</v>
      </c>
      <c r="B597" s="3">
        <v>2.5916830599748808E-2</v>
      </c>
      <c r="C597" s="3">
        <v>2.8551168671313798E-2</v>
      </c>
      <c r="D597" s="3">
        <v>-0.32282802815421796</v>
      </c>
    </row>
    <row r="598" spans="1:4" x14ac:dyDescent="0.35">
      <c r="A598" s="5">
        <v>45377</v>
      </c>
      <c r="B598" s="3">
        <v>2.1145874678565768E-2</v>
      </c>
      <c r="C598" s="3">
        <v>2.9139852561443913E-2</v>
      </c>
      <c r="D598" s="3">
        <v>-0.32156739153272407</v>
      </c>
    </row>
    <row r="599" spans="1:4" x14ac:dyDescent="0.35">
      <c r="A599" s="5">
        <v>45378</v>
      </c>
      <c r="B599" s="3">
        <v>1.9297888518538198E-2</v>
      </c>
      <c r="C599" s="3">
        <v>2.3908593446877902E-2</v>
      </c>
      <c r="D599" s="3">
        <v>-0.32440382393108513</v>
      </c>
    </row>
    <row r="600" spans="1:4" x14ac:dyDescent="0.35">
      <c r="A600" s="5">
        <v>45379</v>
      </c>
      <c r="B600" s="3">
        <v>1.9269453793133717E-2</v>
      </c>
      <c r="C600" s="3">
        <v>2.3908593446877902E-2</v>
      </c>
      <c r="D600" s="3">
        <v>-0.32440382393108513</v>
      </c>
    </row>
    <row r="601" spans="1:4" x14ac:dyDescent="0.35">
      <c r="A601" s="5">
        <v>45380</v>
      </c>
      <c r="B601" s="3">
        <v>2.2725192364384528E-2</v>
      </c>
      <c r="C601" s="3">
        <v>2.756779899120998E-2</v>
      </c>
      <c r="D601" s="3">
        <v>-0.32051686101481236</v>
      </c>
    </row>
    <row r="602" spans="1:4" x14ac:dyDescent="0.35">
      <c r="A602" s="5">
        <v>45383</v>
      </c>
      <c r="B602" s="3">
        <v>3.277236740432099E-2</v>
      </c>
      <c r="C602" s="3">
        <v>3.288602277136321E-2</v>
      </c>
      <c r="D602" s="3">
        <v>-0.31957138354869208</v>
      </c>
    </row>
    <row r="603" spans="1:4" x14ac:dyDescent="0.35">
      <c r="A603" s="5">
        <v>45384</v>
      </c>
      <c r="B603" s="3">
        <v>6.0722117933298403E-2</v>
      </c>
      <c r="C603" s="3">
        <v>3.5541789866609719E-2</v>
      </c>
      <c r="D603" s="3">
        <v>-0.31673495115033079</v>
      </c>
    </row>
    <row r="604" spans="1:4" x14ac:dyDescent="0.35">
      <c r="A604" s="5">
        <v>45385</v>
      </c>
      <c r="B604" s="3">
        <v>5.5255447161966176E-2</v>
      </c>
      <c r="C604" s="3">
        <v>2.8196620419303597E-2</v>
      </c>
      <c r="D604" s="3">
        <v>-0.31820569387540698</v>
      </c>
    </row>
    <row r="605" spans="1:4" x14ac:dyDescent="0.35">
      <c r="A605" s="5">
        <v>45386</v>
      </c>
      <c r="B605" s="3">
        <v>5.0717221909560406E-2</v>
      </c>
      <c r="C605" s="3">
        <v>3.9053824438409102E-2</v>
      </c>
      <c r="D605" s="3">
        <v>-0.32041180796302138</v>
      </c>
    </row>
    <row r="606" spans="1:4" x14ac:dyDescent="0.35">
      <c r="A606" s="5">
        <v>45387</v>
      </c>
      <c r="B606" s="3">
        <v>5.0754195969969551E-2</v>
      </c>
      <c r="C606" s="3">
        <v>4.0398431960183556E-2</v>
      </c>
      <c r="D606" s="3">
        <v>-0.32219770984347096</v>
      </c>
    </row>
    <row r="607" spans="1:4" x14ac:dyDescent="0.35">
      <c r="A607" s="5">
        <v>45390</v>
      </c>
      <c r="B607" s="3">
        <v>6.5032439418156951E-2</v>
      </c>
      <c r="C607" s="3">
        <v>4.3562607869633396E-2</v>
      </c>
      <c r="D607" s="3">
        <v>-0.32282802815421796</v>
      </c>
    </row>
    <row r="608" spans="1:4" x14ac:dyDescent="0.35">
      <c r="A608" s="5">
        <v>45391</v>
      </c>
      <c r="B608" s="3">
        <v>7.526419138129592E-2</v>
      </c>
      <c r="C608" s="3">
        <v>3.923444335924442E-2</v>
      </c>
      <c r="D608" s="3">
        <v>-0.32125223237735057</v>
      </c>
    </row>
    <row r="609" spans="1:4" x14ac:dyDescent="0.35">
      <c r="A609" s="5">
        <v>45392</v>
      </c>
      <c r="B609" s="3">
        <v>7.5234284430910847E-2</v>
      </c>
      <c r="C609" s="3">
        <v>3.923444335924442E-2</v>
      </c>
      <c r="D609" s="3">
        <v>-0.32125223237735057</v>
      </c>
    </row>
    <row r="610" spans="1:4" x14ac:dyDescent="0.35">
      <c r="A610" s="5">
        <v>45393</v>
      </c>
      <c r="B610" s="3">
        <v>7.5204377480526219E-2</v>
      </c>
      <c r="C610" s="3">
        <v>3.923444335924442E-2</v>
      </c>
      <c r="D610" s="3">
        <v>-0.32125223237735057</v>
      </c>
    </row>
    <row r="611" spans="1:4" x14ac:dyDescent="0.35">
      <c r="A611" s="5">
        <v>45394</v>
      </c>
      <c r="B611" s="3">
        <v>7.7425336797647404E-2</v>
      </c>
      <c r="C611" s="3">
        <v>3.7582114713083481E-2</v>
      </c>
      <c r="D611" s="3">
        <v>-0.3175753755646602</v>
      </c>
    </row>
    <row r="612" spans="1:4" x14ac:dyDescent="0.35">
      <c r="A612" s="5">
        <v>45397</v>
      </c>
      <c r="B612" s="3">
        <v>5.9924160166098694E-2</v>
      </c>
      <c r="C612" s="3">
        <v>3.1889273911938298E-2</v>
      </c>
      <c r="D612" s="3">
        <v>-0.32713520327765522</v>
      </c>
    </row>
    <row r="613" spans="1:4" x14ac:dyDescent="0.35">
      <c r="A613" s="5">
        <v>45398</v>
      </c>
      <c r="B613" s="3">
        <v>3.6657595455082514E-2</v>
      </c>
      <c r="C613" s="3">
        <v>2.6852012897528921E-2</v>
      </c>
      <c r="D613" s="3">
        <v>-0.33743040235318833</v>
      </c>
    </row>
    <row r="614" spans="1:4" x14ac:dyDescent="0.35">
      <c r="A614" s="5">
        <v>45399</v>
      </c>
      <c r="B614" s="3">
        <v>5.1524279254117511E-2</v>
      </c>
      <c r="C614" s="3">
        <v>3.0477770493557932E-2</v>
      </c>
      <c r="D614" s="3">
        <v>-0.3297615295724341</v>
      </c>
    </row>
    <row r="615" spans="1:4" x14ac:dyDescent="0.35">
      <c r="A615" s="5">
        <v>45400</v>
      </c>
      <c r="B615" s="3">
        <v>5.7784232630429644E-2</v>
      </c>
      <c r="C615" s="3">
        <v>3.3381052406245448E-2</v>
      </c>
      <c r="D615" s="3">
        <v>-0.32881605210631371</v>
      </c>
    </row>
    <row r="616" spans="1:4" x14ac:dyDescent="0.35">
      <c r="A616" s="5">
        <v>45401</v>
      </c>
      <c r="B616" s="3">
        <v>3.6702414504137471E-2</v>
      </c>
      <c r="C616" s="3">
        <v>3.5260827100865644E-2</v>
      </c>
      <c r="D616" s="3">
        <v>-0.3404769408551318</v>
      </c>
    </row>
    <row r="617" spans="1:4" x14ac:dyDescent="0.35">
      <c r="A617" s="5">
        <v>45404</v>
      </c>
      <c r="B617" s="3">
        <v>4.9657685025368714E-2</v>
      </c>
      <c r="C617" s="3">
        <v>4.3301713872871073E-2</v>
      </c>
      <c r="D617" s="3">
        <v>-0.3414224183212522</v>
      </c>
    </row>
    <row r="618" spans="1:4" x14ac:dyDescent="0.35">
      <c r="A618" s="5">
        <v>45405</v>
      </c>
      <c r="B618" s="3">
        <v>5.9625007909205774E-2</v>
      </c>
      <c r="C618" s="3">
        <v>4.4673079753288158E-2</v>
      </c>
      <c r="D618" s="3">
        <v>-0.33627481878348564</v>
      </c>
    </row>
    <row r="619" spans="1:4" x14ac:dyDescent="0.35">
      <c r="A619" s="5">
        <v>45406</v>
      </c>
      <c r="B619" s="3">
        <v>8.4553816480181787E-2</v>
      </c>
      <c r="C619" s="3">
        <v>5.125563597928906E-2</v>
      </c>
      <c r="D619" s="3">
        <v>-0.32597961970795253</v>
      </c>
    </row>
    <row r="620" spans="1:4" x14ac:dyDescent="0.35">
      <c r="A620" s="5">
        <v>45407</v>
      </c>
      <c r="B620" s="3">
        <v>8.4126413554483248E-2</v>
      </c>
      <c r="C620" s="3">
        <v>4.976385748498191E-2</v>
      </c>
      <c r="D620" s="3">
        <v>-0.32934131736526939</v>
      </c>
    </row>
    <row r="621" spans="1:4" x14ac:dyDescent="0.35">
      <c r="A621" s="5">
        <v>45408</v>
      </c>
      <c r="B621" s="3">
        <v>0.1175946577721636</v>
      </c>
      <c r="C621" s="3">
        <v>5.3717404974378935E-2</v>
      </c>
      <c r="D621" s="3">
        <v>-0.32471898308645863</v>
      </c>
    </row>
    <row r="622" spans="1:4" x14ac:dyDescent="0.35">
      <c r="A622" s="5">
        <v>45411</v>
      </c>
      <c r="B622" s="3">
        <v>0.12505961978051983</v>
      </c>
      <c r="C622" s="3">
        <v>5.8734597219806561E-2</v>
      </c>
      <c r="D622" s="3">
        <v>-0.31705011030570429</v>
      </c>
    </row>
    <row r="623" spans="1:4" x14ac:dyDescent="0.35">
      <c r="A623" s="5">
        <v>45412</v>
      </c>
      <c r="B623" s="3">
        <v>0.13194029249085548</v>
      </c>
      <c r="C623" s="3">
        <v>5.4259261736885112E-2</v>
      </c>
      <c r="D623" s="3">
        <v>-0.31547431452883712</v>
      </c>
    </row>
    <row r="624" spans="1:4" x14ac:dyDescent="0.35">
      <c r="A624" s="5">
        <v>45413</v>
      </c>
      <c r="B624" s="3">
        <v>0.13190570092045695</v>
      </c>
      <c r="C624" s="3">
        <v>5.4259261736885112E-2</v>
      </c>
      <c r="D624" s="3">
        <v>-0.31547431452883712</v>
      </c>
    </row>
    <row r="625" spans="1:4" x14ac:dyDescent="0.35">
      <c r="A625" s="5">
        <v>45414</v>
      </c>
      <c r="B625" s="3">
        <v>0.12630542189652205</v>
      </c>
      <c r="C625" s="3">
        <v>5.715585405991197E-2</v>
      </c>
      <c r="D625" s="3">
        <v>-0.31957138354869208</v>
      </c>
    </row>
    <row r="626" spans="1:4" x14ac:dyDescent="0.35">
      <c r="A626" s="5">
        <v>45415</v>
      </c>
      <c r="B626" s="3">
        <v>0.1474728045995477</v>
      </c>
      <c r="C626" s="3">
        <v>6.33704828545818E-2</v>
      </c>
      <c r="D626" s="3">
        <v>-0.31116713940539975</v>
      </c>
    </row>
    <row r="627" spans="1:4" x14ac:dyDescent="0.35">
      <c r="A627" s="5">
        <v>45418</v>
      </c>
      <c r="B627" s="3">
        <v>0.13911341646100928</v>
      </c>
      <c r="C627" s="3">
        <v>6.8588362789826718E-2</v>
      </c>
      <c r="D627" s="3">
        <v>-0.30328816052106322</v>
      </c>
    </row>
    <row r="628" spans="1:4" x14ac:dyDescent="0.35">
      <c r="A628" s="5">
        <v>45419</v>
      </c>
      <c r="B628" s="3">
        <v>0.13077087886963557</v>
      </c>
      <c r="C628" s="3">
        <v>7.4134032618439205E-2</v>
      </c>
      <c r="D628" s="3">
        <v>-0.29835066708687874</v>
      </c>
    </row>
    <row r="629" spans="1:4" x14ac:dyDescent="0.35">
      <c r="A629" s="5">
        <v>45420</v>
      </c>
      <c r="B629" s="3">
        <v>0.16376299278720263</v>
      </c>
      <c r="C629" s="3">
        <v>7.3511900780006245E-2</v>
      </c>
      <c r="D629" s="3">
        <v>-0.29383338585985919</v>
      </c>
    </row>
    <row r="630" spans="1:4" x14ac:dyDescent="0.35">
      <c r="A630" s="5">
        <v>45421</v>
      </c>
      <c r="B630" s="3">
        <v>0.16411885703335938</v>
      </c>
      <c r="C630" s="3">
        <v>7.1150475629824905E-2</v>
      </c>
      <c r="D630" s="3">
        <v>-0.29603949994747336</v>
      </c>
    </row>
    <row r="631" spans="1:4" x14ac:dyDescent="0.35">
      <c r="A631" s="5">
        <v>45422</v>
      </c>
      <c r="B631" s="3">
        <v>0.16388757789152852</v>
      </c>
      <c r="C631" s="3">
        <v>7.0782548198493611E-2</v>
      </c>
      <c r="D631" s="3">
        <v>-0.29709003046538507</v>
      </c>
    </row>
    <row r="632" spans="1:4" x14ac:dyDescent="0.35">
      <c r="A632" s="5">
        <v>45425</v>
      </c>
      <c r="B632" s="3">
        <v>0.16886925330149793</v>
      </c>
      <c r="C632" s="3">
        <v>7.2281016282461419E-2</v>
      </c>
      <c r="D632" s="3">
        <v>-0.28553419476835795</v>
      </c>
    </row>
    <row r="633" spans="1:4" x14ac:dyDescent="0.35">
      <c r="A633" s="5">
        <v>45426</v>
      </c>
      <c r="B633" s="3">
        <v>0.16247297674034189</v>
      </c>
      <c r="C633" s="3">
        <v>7.4267824411650807E-2</v>
      </c>
      <c r="D633" s="3">
        <v>-0.28427355814686417</v>
      </c>
    </row>
    <row r="634" spans="1:4" x14ac:dyDescent="0.35">
      <c r="A634" s="5">
        <v>45427</v>
      </c>
      <c r="B634" s="3">
        <v>0.186509649477961</v>
      </c>
      <c r="C634" s="3">
        <v>7.2495083151599582E-2</v>
      </c>
      <c r="D634" s="3">
        <v>-0.27628952621073644</v>
      </c>
    </row>
    <row r="635" spans="1:4" x14ac:dyDescent="0.35">
      <c r="A635" s="5">
        <v>45428</v>
      </c>
      <c r="B635" s="3">
        <v>0.19150473095623188</v>
      </c>
      <c r="C635" s="3">
        <v>7.7766479804128874E-2</v>
      </c>
      <c r="D635" s="3">
        <v>-0.26315789473684204</v>
      </c>
    </row>
    <row r="636" spans="1:4" x14ac:dyDescent="0.35">
      <c r="A636" s="5">
        <v>45429</v>
      </c>
      <c r="B636" s="3">
        <v>0.20229754555688984</v>
      </c>
      <c r="C636" s="3">
        <v>8.1452443707102917E-2</v>
      </c>
      <c r="D636" s="3">
        <v>-0.2444584515180166</v>
      </c>
    </row>
    <row r="637" spans="1:4" x14ac:dyDescent="0.35">
      <c r="A637" s="5">
        <v>45432</v>
      </c>
      <c r="B637" s="3">
        <v>0.19582181113105546</v>
      </c>
      <c r="C637" s="3">
        <v>8.8730717257803571E-2</v>
      </c>
      <c r="D637" s="3">
        <v>-0.23920579892845883</v>
      </c>
    </row>
    <row r="638" spans="1:4" x14ac:dyDescent="0.35">
      <c r="A638" s="5">
        <v>45433</v>
      </c>
      <c r="B638" s="3">
        <v>0.19617666421390978</v>
      </c>
      <c r="C638" s="3">
        <v>8.5111649251434995E-2</v>
      </c>
      <c r="D638" s="3">
        <v>-0.23500367685681278</v>
      </c>
    </row>
    <row r="639" spans="1:4" x14ac:dyDescent="0.35">
      <c r="A639" s="5">
        <v>45434</v>
      </c>
      <c r="B639" s="3">
        <v>0.19614009924416242</v>
      </c>
      <c r="C639" s="3">
        <v>8.5111649251434995E-2</v>
      </c>
      <c r="D639" s="3">
        <v>-0.23500367685681278</v>
      </c>
    </row>
    <row r="640" spans="1:4" x14ac:dyDescent="0.35">
      <c r="A640" s="5">
        <v>45435</v>
      </c>
      <c r="B640" s="3">
        <v>0.21658774569388162</v>
      </c>
      <c r="C640" s="3">
        <v>8.9854568320779427E-2</v>
      </c>
      <c r="D640" s="3">
        <v>-0.22828028154217883</v>
      </c>
    </row>
    <row r="641" spans="1:4" x14ac:dyDescent="0.35">
      <c r="A641" s="5">
        <v>45436</v>
      </c>
      <c r="B641" s="3">
        <v>0.19684918566462084</v>
      </c>
      <c r="C641" s="3">
        <v>8.3312149632741583E-2</v>
      </c>
      <c r="D641" s="3">
        <v>-0.22439331862590606</v>
      </c>
    </row>
    <row r="642" spans="1:4" x14ac:dyDescent="0.35">
      <c r="A642" s="5">
        <v>45439</v>
      </c>
      <c r="B642" s="3">
        <v>0.21536512938931618</v>
      </c>
      <c r="C642" s="3">
        <v>8.2556226001097244E-2</v>
      </c>
      <c r="D642" s="3">
        <v>-0.21987603739888639</v>
      </c>
    </row>
    <row r="643" spans="1:4" x14ac:dyDescent="0.35">
      <c r="A643" s="5">
        <v>45440</v>
      </c>
      <c r="B643" s="3">
        <v>0.17675208099099726</v>
      </c>
      <c r="C643" s="3">
        <v>8.0917276534257399E-2</v>
      </c>
      <c r="D643" s="3">
        <v>-0.22733480407605844</v>
      </c>
    </row>
    <row r="644" spans="1:4" x14ac:dyDescent="0.35">
      <c r="A644" s="5">
        <v>45441</v>
      </c>
      <c r="B644" s="3">
        <v>0.18268946881273473</v>
      </c>
      <c r="C644" s="3">
        <v>7.3913276159640384E-2</v>
      </c>
      <c r="D644" s="3">
        <v>-0.22365794726336796</v>
      </c>
    </row>
    <row r="645" spans="1:4" x14ac:dyDescent="0.35">
      <c r="A645" s="5">
        <v>45442</v>
      </c>
      <c r="B645" s="3">
        <v>0.20522506962771314</v>
      </c>
      <c r="C645" s="3">
        <v>7.3184110886638232E-2</v>
      </c>
      <c r="D645" s="3">
        <v>-0.22628427355814673</v>
      </c>
    </row>
    <row r="646" spans="1:4" x14ac:dyDescent="0.35">
      <c r="A646" s="5">
        <v>45443</v>
      </c>
      <c r="B646" s="3">
        <v>0.22554194982969245</v>
      </c>
      <c r="C646" s="3">
        <v>6.8113401923926009E-2</v>
      </c>
      <c r="D646" s="3">
        <v>-0.23647441958188875</v>
      </c>
    </row>
    <row r="647" spans="1:4" x14ac:dyDescent="0.35">
      <c r="A647" s="5">
        <v>45446</v>
      </c>
      <c r="B647" s="3">
        <v>0.22542953130316845</v>
      </c>
      <c r="C647" s="3">
        <v>6.8113401923926009E-2</v>
      </c>
      <c r="D647" s="3">
        <v>-0.23647441958188875</v>
      </c>
    </row>
    <row r="648" spans="1:4" x14ac:dyDescent="0.35">
      <c r="A648" s="5">
        <v>45447</v>
      </c>
      <c r="B648" s="3">
        <v>0.23478107939780624</v>
      </c>
      <c r="C648" s="3">
        <v>8.0636313768513546E-2</v>
      </c>
      <c r="D648" s="3">
        <v>-0.22176699233112718</v>
      </c>
    </row>
    <row r="649" spans="1:4" x14ac:dyDescent="0.35">
      <c r="A649" s="5">
        <v>45448</v>
      </c>
      <c r="B649" s="3">
        <v>0.23597790892831871</v>
      </c>
      <c r="C649" s="3">
        <v>7.604056567170181E-2</v>
      </c>
      <c r="D649" s="3">
        <v>-0.21766992331127222</v>
      </c>
    </row>
    <row r="650" spans="1:4" x14ac:dyDescent="0.35">
      <c r="A650" s="5">
        <v>45449</v>
      </c>
      <c r="B650" s="3">
        <v>0.21745990614565636</v>
      </c>
      <c r="C650" s="3">
        <v>8.0188111261255246E-2</v>
      </c>
      <c r="D650" s="3">
        <v>-0.21546380922365782</v>
      </c>
    </row>
    <row r="651" spans="1:4" x14ac:dyDescent="0.35">
      <c r="A651" s="5">
        <v>45450</v>
      </c>
      <c r="B651" s="3">
        <v>0.2354218035286848</v>
      </c>
      <c r="C651" s="3">
        <v>8.2281952825013827E-2</v>
      </c>
      <c r="D651" s="3">
        <v>-0.21073642189305597</v>
      </c>
    </row>
    <row r="652" spans="1:4" x14ac:dyDescent="0.35">
      <c r="A652" s="5">
        <v>45453</v>
      </c>
      <c r="B652" s="3">
        <v>0.22793469465232707</v>
      </c>
      <c r="C652" s="3">
        <v>7.9947286033474674E-2</v>
      </c>
      <c r="D652" s="3">
        <v>-0.20348776131946633</v>
      </c>
    </row>
    <row r="653" spans="1:4" x14ac:dyDescent="0.35">
      <c r="A653" s="5">
        <v>45454</v>
      </c>
      <c r="B653" s="3">
        <v>0.24210436030246085</v>
      </c>
      <c r="C653" s="3">
        <v>7.802068421123054E-2</v>
      </c>
      <c r="D653" s="3">
        <v>-0.18457821199705848</v>
      </c>
    </row>
    <row r="654" spans="1:4" x14ac:dyDescent="0.35">
      <c r="A654" s="5">
        <v>45455</v>
      </c>
      <c r="B654" s="3">
        <v>0.25367443261320721</v>
      </c>
      <c r="C654" s="3">
        <v>7.6321528437445663E-2</v>
      </c>
      <c r="D654" s="3">
        <v>-0.16776972371047383</v>
      </c>
    </row>
    <row r="655" spans="1:4" x14ac:dyDescent="0.35">
      <c r="A655" s="5">
        <v>45456</v>
      </c>
      <c r="B655" s="3">
        <v>0.30334491308619516</v>
      </c>
      <c r="C655" s="3">
        <v>7.7137658376035256E-2</v>
      </c>
      <c r="D655" s="3">
        <v>-0.15295724340792105</v>
      </c>
    </row>
    <row r="656" spans="1:4" x14ac:dyDescent="0.35">
      <c r="A656" s="5">
        <v>45457</v>
      </c>
      <c r="B656" s="3">
        <v>0.21062204987664157</v>
      </c>
      <c r="C656" s="3">
        <v>7.5231125322772652E-2</v>
      </c>
      <c r="D656" s="3">
        <v>-0.16692929929614453</v>
      </c>
    </row>
    <row r="657" spans="1:4" x14ac:dyDescent="0.35">
      <c r="A657" s="5">
        <v>45460</v>
      </c>
      <c r="B657" s="3">
        <v>0.21051088727769618</v>
      </c>
      <c r="C657" s="3">
        <v>7.5231125322772652E-2</v>
      </c>
      <c r="D657" s="3">
        <v>-0.16692929929614453</v>
      </c>
    </row>
    <row r="658" spans="1:4" x14ac:dyDescent="0.35">
      <c r="A658" s="5">
        <v>45461</v>
      </c>
      <c r="B658" s="3">
        <v>0.22688099732396338</v>
      </c>
      <c r="C658" s="3">
        <v>7.4435064153165031E-2</v>
      </c>
      <c r="D658" s="3">
        <v>-0.16787477676226503</v>
      </c>
    </row>
    <row r="659" spans="1:4" x14ac:dyDescent="0.35">
      <c r="A659" s="5">
        <v>45462</v>
      </c>
      <c r="B659" s="3">
        <v>0.21660928402544921</v>
      </c>
      <c r="C659" s="3">
        <v>7.0193864308363274E-2</v>
      </c>
      <c r="D659" s="3">
        <v>-0.18111146128795041</v>
      </c>
    </row>
    <row r="660" spans="1:4" x14ac:dyDescent="0.35">
      <c r="A660" s="5">
        <v>45463</v>
      </c>
      <c r="B660" s="3">
        <v>0.19756571591125383</v>
      </c>
      <c r="C660" s="3">
        <v>6.5444255649358629E-2</v>
      </c>
      <c r="D660" s="3">
        <v>-0.18562874251497008</v>
      </c>
    </row>
    <row r="661" spans="1:4" x14ac:dyDescent="0.35">
      <c r="A661" s="5">
        <v>45464</v>
      </c>
      <c r="B661" s="3">
        <v>0.18112187109418243</v>
      </c>
      <c r="C661" s="3">
        <v>6.3892270848106225E-2</v>
      </c>
      <c r="D661" s="3">
        <v>-0.18373778758272918</v>
      </c>
    </row>
    <row r="662" spans="1:4" x14ac:dyDescent="0.35">
      <c r="A662" s="5">
        <v>45467</v>
      </c>
      <c r="B662" s="3">
        <v>0.16606820043025228</v>
      </c>
      <c r="C662" s="3">
        <v>6.3417309982205738E-2</v>
      </c>
      <c r="D662" s="3">
        <v>-0.19802500262632627</v>
      </c>
    </row>
    <row r="663" spans="1:4" x14ac:dyDescent="0.35">
      <c r="A663" s="5">
        <v>45468</v>
      </c>
      <c r="B663" s="3">
        <v>0.19462318034969295</v>
      </c>
      <c r="C663" s="3">
        <v>6.0554165607481725E-2</v>
      </c>
      <c r="D663" s="3">
        <v>-0.20401302657842213</v>
      </c>
    </row>
    <row r="664" spans="1:4" x14ac:dyDescent="0.35">
      <c r="A664" s="5">
        <v>45469</v>
      </c>
      <c r="B664" s="3">
        <v>0.16901011869256433</v>
      </c>
      <c r="C664" s="3">
        <v>6.4280267048419271E-2</v>
      </c>
      <c r="D664" s="3">
        <v>-0.19781489652274398</v>
      </c>
    </row>
    <row r="665" spans="1:4" x14ac:dyDescent="0.35">
      <c r="A665" s="5">
        <v>45470</v>
      </c>
      <c r="B665" s="3">
        <v>0.10139627605873081</v>
      </c>
      <c r="C665" s="3">
        <v>6.0259823662416556E-2</v>
      </c>
      <c r="D665" s="3">
        <v>-0.20663935287320101</v>
      </c>
    </row>
    <row r="666" spans="1:4" x14ac:dyDescent="0.35">
      <c r="A666" s="5">
        <v>45471</v>
      </c>
      <c r="B666" s="3">
        <v>0.14587603335054022</v>
      </c>
      <c r="C666" s="3">
        <v>6.3704962337610249E-2</v>
      </c>
      <c r="D666" s="3">
        <v>-0.19739468431557927</v>
      </c>
    </row>
    <row r="667" spans="1:4" x14ac:dyDescent="0.35">
      <c r="A667" s="5">
        <v>45474</v>
      </c>
      <c r="B667" s="3">
        <v>0.13885155777176594</v>
      </c>
      <c r="C667" s="3">
        <v>6.9130219552332672E-2</v>
      </c>
      <c r="D667" s="3">
        <v>-0.19655425990125008</v>
      </c>
    </row>
    <row r="668" spans="1:4" x14ac:dyDescent="0.35">
      <c r="A668" s="5">
        <v>45475</v>
      </c>
      <c r="B668" s="3">
        <v>0.13995376182531594</v>
      </c>
      <c r="C668" s="3">
        <v>6.8969669400479106E-2</v>
      </c>
      <c r="D668" s="3">
        <v>-0.18804496270616655</v>
      </c>
    </row>
    <row r="669" spans="1:4" x14ac:dyDescent="0.35">
      <c r="A669" s="5">
        <v>45476</v>
      </c>
      <c r="B669" s="3">
        <v>0.17646941661328963</v>
      </c>
      <c r="C669" s="3">
        <v>8.0582797051228949E-2</v>
      </c>
      <c r="D669" s="3">
        <v>-0.18090135518436812</v>
      </c>
    </row>
    <row r="670" spans="1:4" x14ac:dyDescent="0.35">
      <c r="A670" s="5">
        <v>45477</v>
      </c>
      <c r="B670" s="3">
        <v>0.19608946100233138</v>
      </c>
      <c r="C670" s="3">
        <v>8.1539408372690581E-2</v>
      </c>
      <c r="D670" s="3">
        <v>-0.18489337115243187</v>
      </c>
    </row>
    <row r="671" spans="1:4" x14ac:dyDescent="0.35">
      <c r="A671" s="5">
        <v>45478</v>
      </c>
      <c r="B671" s="3">
        <v>0.19735239028662299</v>
      </c>
      <c r="C671" s="3">
        <v>7.7706273497183842E-2</v>
      </c>
      <c r="D671" s="3">
        <v>-0.18426305284168498</v>
      </c>
    </row>
    <row r="672" spans="1:4" x14ac:dyDescent="0.35">
      <c r="A672" s="5">
        <v>45481</v>
      </c>
      <c r="B672" s="3">
        <v>0.19724231608372156</v>
      </c>
      <c r="C672" s="3">
        <v>7.7706273497183842E-2</v>
      </c>
      <c r="D672" s="3">
        <v>-0.18426305284168498</v>
      </c>
    </row>
    <row r="673" spans="1:4" x14ac:dyDescent="0.35">
      <c r="A673" s="5">
        <v>45482</v>
      </c>
      <c r="B673" s="3">
        <v>0.18550942297373041</v>
      </c>
      <c r="C673" s="3">
        <v>7.9980733981777741E-2</v>
      </c>
      <c r="D673" s="3">
        <v>-0.17354764155898728</v>
      </c>
    </row>
    <row r="674" spans="1:4" x14ac:dyDescent="0.35">
      <c r="A674" s="5">
        <v>45483</v>
      </c>
      <c r="B674" s="3">
        <v>0.18157435144359391</v>
      </c>
      <c r="C674" s="3">
        <v>8.2629811487363591E-2</v>
      </c>
      <c r="D674" s="3">
        <v>-0.16829498896942952</v>
      </c>
    </row>
    <row r="675" spans="1:4" x14ac:dyDescent="0.35">
      <c r="A675" s="5">
        <v>45484</v>
      </c>
      <c r="B675" s="3">
        <v>0.16789256338137859</v>
      </c>
      <c r="C675" s="3">
        <v>8.5800676986473645E-2</v>
      </c>
      <c r="D675" s="3">
        <v>-0.16157159365479568</v>
      </c>
    </row>
    <row r="676" spans="1:4" x14ac:dyDescent="0.35">
      <c r="A676" s="5">
        <v>45485</v>
      </c>
      <c r="B676" s="3">
        <v>0.15583565314460635</v>
      </c>
      <c r="C676" s="3">
        <v>8.3084703584282105E-2</v>
      </c>
      <c r="D676" s="3">
        <v>-0.16955562559092341</v>
      </c>
    </row>
    <row r="677" spans="1:4" x14ac:dyDescent="0.35">
      <c r="A677" s="5">
        <v>45488</v>
      </c>
      <c r="B677" s="3">
        <v>0.16385167376421439</v>
      </c>
      <c r="C677" s="3">
        <v>9.0282702059055753E-2</v>
      </c>
      <c r="D677" s="3">
        <v>-0.15947053261897248</v>
      </c>
    </row>
    <row r="678" spans="1:4" x14ac:dyDescent="0.35">
      <c r="A678" s="5">
        <v>45489</v>
      </c>
      <c r="B678" s="3">
        <v>0.14286028284912122</v>
      </c>
      <c r="C678" s="3">
        <v>8.7700520450075592E-2</v>
      </c>
      <c r="D678" s="3">
        <v>-0.16524845046748615</v>
      </c>
    </row>
    <row r="679" spans="1:4" x14ac:dyDescent="0.35">
      <c r="A679" s="5">
        <v>45490</v>
      </c>
      <c r="B679" s="3">
        <v>0.20764163163486105</v>
      </c>
      <c r="C679" s="3">
        <v>9.2771229412787815E-2</v>
      </c>
      <c r="D679" s="3">
        <v>-0.16766467065868262</v>
      </c>
    </row>
    <row r="680" spans="1:4" x14ac:dyDescent="0.35">
      <c r="A680" s="5">
        <v>45491</v>
      </c>
      <c r="B680" s="3">
        <v>0.14668692089278101</v>
      </c>
      <c r="C680" s="3">
        <v>9.2951848333623355E-2</v>
      </c>
      <c r="D680" s="3">
        <v>-0.18247715096123551</v>
      </c>
    </row>
    <row r="681" spans="1:4" x14ac:dyDescent="0.35">
      <c r="A681" s="5">
        <v>45492</v>
      </c>
      <c r="B681" s="3">
        <v>0.12748296868690256</v>
      </c>
      <c r="C681" s="3">
        <v>9.478479590061939E-2</v>
      </c>
      <c r="D681" s="3">
        <v>-0.18983086458661613</v>
      </c>
    </row>
    <row r="682" spans="1:4" x14ac:dyDescent="0.35">
      <c r="A682" s="5">
        <v>45495</v>
      </c>
      <c r="B682" s="3">
        <v>0.10691077269593441</v>
      </c>
      <c r="C682" s="3">
        <v>8.5098270072113902E-2</v>
      </c>
      <c r="D682" s="3">
        <v>-0.1939279336064712</v>
      </c>
    </row>
    <row r="683" spans="1:4" x14ac:dyDescent="0.35">
      <c r="A683" s="5">
        <v>45496</v>
      </c>
      <c r="B683" s="3">
        <v>0.12182494997434024</v>
      </c>
      <c r="C683" s="3">
        <v>9.0189047803807876E-2</v>
      </c>
      <c r="D683" s="3">
        <v>-0.19256224393318622</v>
      </c>
    </row>
    <row r="684" spans="1:4" x14ac:dyDescent="0.35">
      <c r="A684" s="5">
        <v>45497</v>
      </c>
      <c r="B684" s="3">
        <v>0.15168077434772553</v>
      </c>
      <c r="C684" s="3">
        <v>8.4476138233680942E-2</v>
      </c>
      <c r="D684" s="3">
        <v>-0.19728963126378818</v>
      </c>
    </row>
    <row r="685" spans="1:4" x14ac:dyDescent="0.35">
      <c r="A685" s="5">
        <v>45498</v>
      </c>
      <c r="B685" s="3">
        <v>0.14059900198754138</v>
      </c>
      <c r="C685" s="3">
        <v>8.0489142795981072E-2</v>
      </c>
      <c r="D685" s="3">
        <v>-0.21367790734320835</v>
      </c>
    </row>
    <row r="686" spans="1:4" x14ac:dyDescent="0.35">
      <c r="A686" s="5">
        <v>45499</v>
      </c>
      <c r="B686" s="3">
        <v>0.14641207652458665</v>
      </c>
      <c r="C686" s="3">
        <v>7.8950537174049984E-2</v>
      </c>
      <c r="D686" s="3">
        <v>-0.21651433974156953</v>
      </c>
    </row>
    <row r="687" spans="1:4" x14ac:dyDescent="0.35">
      <c r="A687" s="5">
        <v>45502</v>
      </c>
      <c r="B687" s="3">
        <v>0.14630646961888094</v>
      </c>
      <c r="C687" s="3">
        <v>8.6763977897595712E-2</v>
      </c>
      <c r="D687" s="3">
        <v>-0.2077949364429037</v>
      </c>
    </row>
    <row r="688" spans="1:4" x14ac:dyDescent="0.35">
      <c r="A688" s="5">
        <v>45503</v>
      </c>
      <c r="B688" s="3">
        <v>0.12239153321648755</v>
      </c>
      <c r="C688" s="3">
        <v>7.8321715745956144E-2</v>
      </c>
      <c r="D688" s="3">
        <v>-0.20684945897678331</v>
      </c>
    </row>
    <row r="689" spans="1:4" x14ac:dyDescent="0.35">
      <c r="A689" s="5">
        <v>45504</v>
      </c>
      <c r="B689" s="3">
        <v>0.1290173959276717</v>
      </c>
      <c r="C689" s="3">
        <v>8.743962645331349E-2</v>
      </c>
      <c r="D689" s="3">
        <v>-0.21619918058619603</v>
      </c>
    </row>
    <row r="690" spans="1:4" x14ac:dyDescent="0.35">
      <c r="A690" s="5">
        <v>45505</v>
      </c>
      <c r="B690" s="3">
        <v>0.15109835250643</v>
      </c>
      <c r="C690" s="3">
        <v>8.6556600618118207E-2</v>
      </c>
      <c r="D690" s="3">
        <v>-0.21462338480932863</v>
      </c>
    </row>
    <row r="691" spans="1:4" x14ac:dyDescent="0.35">
      <c r="A691" s="5">
        <v>45506</v>
      </c>
      <c r="B691" s="3">
        <v>9.1932217603759803E-2</v>
      </c>
      <c r="C691" s="3">
        <v>7.7726342266165371E-2</v>
      </c>
      <c r="D691" s="3">
        <v>-0.25086668767727693</v>
      </c>
    </row>
    <row r="692" spans="1:4" x14ac:dyDescent="0.35">
      <c r="A692" s="5">
        <v>45509</v>
      </c>
      <c r="B692" s="3">
        <v>-5.8399123322278035E-2</v>
      </c>
      <c r="C692" s="3">
        <v>2.7842072167293397E-2</v>
      </c>
      <c r="D692" s="3">
        <v>-0.31915117134152748</v>
      </c>
    </row>
    <row r="693" spans="1:4" x14ac:dyDescent="0.35">
      <c r="A693" s="5">
        <v>45510</v>
      </c>
      <c r="B693" s="3">
        <v>-2.1781565424091931E-2</v>
      </c>
      <c r="C693" s="3">
        <v>5.3202306570515168E-2</v>
      </c>
      <c r="D693" s="3">
        <v>-0.29257274923836529</v>
      </c>
    </row>
    <row r="694" spans="1:4" x14ac:dyDescent="0.35">
      <c r="A694" s="5">
        <v>45511</v>
      </c>
      <c r="B694" s="3">
        <v>3.5618014401546105E-3</v>
      </c>
      <c r="C694" s="3">
        <v>6.4895709297191795E-2</v>
      </c>
      <c r="D694" s="3">
        <v>-0.27492383653745145</v>
      </c>
    </row>
    <row r="695" spans="1:4" x14ac:dyDescent="0.35">
      <c r="A695" s="5">
        <v>45512</v>
      </c>
      <c r="B695" s="3">
        <v>-6.5380914858553796E-3</v>
      </c>
      <c r="C695" s="3">
        <v>6.3898960437766883E-2</v>
      </c>
      <c r="D695" s="3">
        <v>-0.27681479146969212</v>
      </c>
    </row>
    <row r="696" spans="1:4" x14ac:dyDescent="0.35">
      <c r="A696" s="5">
        <v>45513</v>
      </c>
      <c r="B696" s="3">
        <v>5.0561812873156198E-2</v>
      </c>
      <c r="C696" s="3">
        <v>6.7691957775310119E-2</v>
      </c>
      <c r="D696" s="3">
        <v>-0.25254753650593542</v>
      </c>
    </row>
    <row r="697" spans="1:4" x14ac:dyDescent="0.35">
      <c r="A697" s="5">
        <v>45516</v>
      </c>
      <c r="B697" s="3">
        <v>4.4950237806711479E-2</v>
      </c>
      <c r="C697" s="3">
        <v>7.4789612405175232E-2</v>
      </c>
      <c r="D697" s="3">
        <v>-0.24666456560563088</v>
      </c>
    </row>
    <row r="698" spans="1:4" x14ac:dyDescent="0.35">
      <c r="A698" s="5">
        <v>45517</v>
      </c>
      <c r="B698" s="3">
        <v>2.8351320920440459E-2</v>
      </c>
      <c r="C698" s="3">
        <v>7.6702835048098272E-2</v>
      </c>
      <c r="D698" s="3">
        <v>-0.25212732429877094</v>
      </c>
    </row>
    <row r="699" spans="1:4" x14ac:dyDescent="0.35">
      <c r="A699" s="5">
        <v>45518</v>
      </c>
      <c r="B699" s="3">
        <v>2.8322470302915237E-2</v>
      </c>
      <c r="C699" s="3">
        <v>7.8595988922039561E-2</v>
      </c>
      <c r="D699" s="3">
        <v>-0.25065658157369475</v>
      </c>
    </row>
    <row r="700" spans="1:4" x14ac:dyDescent="0.35">
      <c r="A700" s="5">
        <v>45519</v>
      </c>
      <c r="B700" s="3">
        <v>2.684962678457814E-2</v>
      </c>
      <c r="C700" s="3">
        <v>7.8990674712013265E-2</v>
      </c>
      <c r="D700" s="3">
        <v>-0.26263262947788635</v>
      </c>
    </row>
    <row r="701" spans="1:4" x14ac:dyDescent="0.35">
      <c r="A701" s="5">
        <v>45520</v>
      </c>
      <c r="B701" s="3">
        <v>4.4706242156242526E-2</v>
      </c>
      <c r="C701" s="3">
        <v>8.6322464979998292E-2</v>
      </c>
      <c r="D701" s="3">
        <v>-0.25391322617922052</v>
      </c>
    </row>
    <row r="702" spans="1:4" x14ac:dyDescent="0.35">
      <c r="A702" s="5">
        <v>45523</v>
      </c>
      <c r="B702" s="3">
        <v>6.8979715709201583E-2</v>
      </c>
      <c r="C702" s="3">
        <v>0.10291264733821248</v>
      </c>
      <c r="D702" s="3">
        <v>-0.26263262947788635</v>
      </c>
    </row>
    <row r="703" spans="1:4" x14ac:dyDescent="0.35">
      <c r="A703" s="5">
        <v>45524</v>
      </c>
      <c r="B703" s="3">
        <v>5.4953815805182993E-2</v>
      </c>
      <c r="C703" s="3">
        <v>9.8945720669494142E-2</v>
      </c>
      <c r="D703" s="3">
        <v>-0.27397835907133106</v>
      </c>
    </row>
    <row r="704" spans="1:4" x14ac:dyDescent="0.35">
      <c r="A704" s="5">
        <v>45525</v>
      </c>
      <c r="B704" s="3">
        <v>6.7448911040340676E-2</v>
      </c>
      <c r="C704" s="3">
        <v>9.396197637236936E-2</v>
      </c>
      <c r="D704" s="3">
        <v>-0.27250761634625487</v>
      </c>
    </row>
    <row r="705" spans="1:4" x14ac:dyDescent="0.35">
      <c r="A705" s="5">
        <v>45526</v>
      </c>
      <c r="B705" s="3">
        <v>6.9774456002670071E-2</v>
      </c>
      <c r="C705" s="3">
        <v>9.8203176217170896E-2</v>
      </c>
      <c r="D705" s="3">
        <v>-0.27177224498371688</v>
      </c>
    </row>
    <row r="706" spans="1:4" x14ac:dyDescent="0.35">
      <c r="A706" s="5">
        <v>45527</v>
      </c>
      <c r="B706" s="3">
        <v>1.7355239442827797E-2</v>
      </c>
      <c r="C706" s="3">
        <v>9.4242939138113435E-2</v>
      </c>
      <c r="D706" s="3">
        <v>-0.29498896942956188</v>
      </c>
    </row>
    <row r="707" spans="1:4" x14ac:dyDescent="0.35">
      <c r="A707" s="5">
        <v>45530</v>
      </c>
      <c r="B707" s="3">
        <v>2.3966003737871944E-3</v>
      </c>
      <c r="C707" s="3">
        <v>9.6396987008817048E-2</v>
      </c>
      <c r="D707" s="3">
        <v>-0.30160731169240462</v>
      </c>
    </row>
    <row r="708" spans="1:4" x14ac:dyDescent="0.35">
      <c r="A708" s="5">
        <v>45531</v>
      </c>
      <c r="B708" s="3">
        <v>5.6184638454559455E-3</v>
      </c>
      <c r="C708" s="3">
        <v>0.1053142100263571</v>
      </c>
      <c r="D708" s="3">
        <v>-0.31316314738943174</v>
      </c>
    </row>
    <row r="709" spans="1:4" x14ac:dyDescent="0.35">
      <c r="A709" s="5">
        <v>45532</v>
      </c>
      <c r="B709" s="3">
        <v>1.4089596458641829E-2</v>
      </c>
      <c r="C709" s="3">
        <v>0.12066681829736581</v>
      </c>
      <c r="D709" s="3">
        <v>-0.33207269671183948</v>
      </c>
    </row>
    <row r="710" spans="1:4" x14ac:dyDescent="0.35">
      <c r="A710" s="5">
        <v>45533</v>
      </c>
      <c r="B710" s="3">
        <v>6.1986764052295307E-3</v>
      </c>
      <c r="C710" s="3">
        <v>0.10615709832358888</v>
      </c>
      <c r="D710" s="3">
        <v>-0.34751549532513915</v>
      </c>
    </row>
    <row r="711" spans="1:4" x14ac:dyDescent="0.35">
      <c r="A711" s="5">
        <v>45534</v>
      </c>
      <c r="B711" s="3">
        <v>1.2157718895935421E-3</v>
      </c>
      <c r="C711" s="3">
        <v>0.12304831221652868</v>
      </c>
      <c r="D711" s="3">
        <v>-0.33333333333333326</v>
      </c>
    </row>
    <row r="712" spans="1:4" x14ac:dyDescent="0.35">
      <c r="A712" s="5">
        <v>45537</v>
      </c>
      <c r="B712" s="3">
        <v>2.9759519635557119E-3</v>
      </c>
      <c r="C712" s="3">
        <v>0.12264024724723388</v>
      </c>
      <c r="D712" s="3">
        <v>-0.32408866477571163</v>
      </c>
    </row>
    <row r="713" spans="1:4" x14ac:dyDescent="0.35">
      <c r="A713" s="5">
        <v>45538</v>
      </c>
      <c r="B713" s="3">
        <v>9.3644143794033852E-3</v>
      </c>
      <c r="C713" s="3">
        <v>0.12161005043950612</v>
      </c>
      <c r="D713" s="3">
        <v>-0.32997163567601639</v>
      </c>
    </row>
    <row r="714" spans="1:4" x14ac:dyDescent="0.35">
      <c r="A714" s="5">
        <v>45539</v>
      </c>
      <c r="B714" s="3">
        <v>-6.4957648271324331E-4</v>
      </c>
      <c r="C714" s="3">
        <v>0.11732202346708065</v>
      </c>
      <c r="D714" s="3">
        <v>-0.34825086668767724</v>
      </c>
    </row>
    <row r="715" spans="1:4" x14ac:dyDescent="0.35">
      <c r="A715" s="5">
        <v>45540</v>
      </c>
      <c r="B715" s="3">
        <v>-9.449810819124882E-3</v>
      </c>
      <c r="C715" s="3">
        <v>0.11369626587105142</v>
      </c>
      <c r="D715" s="3">
        <v>-0.36957663620128167</v>
      </c>
    </row>
    <row r="716" spans="1:4" x14ac:dyDescent="0.35">
      <c r="A716" s="5">
        <v>45541</v>
      </c>
      <c r="B716" s="3">
        <v>-7.1221865330099998E-3</v>
      </c>
      <c r="C716" s="3">
        <v>0.10586944596818437</v>
      </c>
      <c r="D716" s="3">
        <v>-0.37272822775501624</v>
      </c>
    </row>
    <row r="717" spans="1:4" x14ac:dyDescent="0.35">
      <c r="A717" s="5">
        <v>45544</v>
      </c>
      <c r="B717" s="3">
        <v>-1.6513614857938008E-2</v>
      </c>
      <c r="C717" s="3">
        <v>0.10477904285351136</v>
      </c>
      <c r="D717" s="3">
        <v>-0.377980880344574</v>
      </c>
    </row>
    <row r="718" spans="1:4" x14ac:dyDescent="0.35">
      <c r="A718" s="5">
        <v>45545</v>
      </c>
      <c r="B718" s="3">
        <v>-1.6297608854989432E-2</v>
      </c>
      <c r="C718" s="3">
        <v>0.11070601929277668</v>
      </c>
      <c r="D718" s="3">
        <v>-0.38029204748397938</v>
      </c>
    </row>
    <row r="719" spans="1:4" x14ac:dyDescent="0.35">
      <c r="A719" s="5">
        <v>45546</v>
      </c>
      <c r="B719" s="3">
        <v>-3.9392771854901532E-2</v>
      </c>
      <c r="C719" s="3">
        <v>9.6958912540304754E-2</v>
      </c>
      <c r="D719" s="3">
        <v>-0.39352873200966487</v>
      </c>
    </row>
    <row r="720" spans="1:4" x14ac:dyDescent="0.35">
      <c r="A720" s="5">
        <v>45547</v>
      </c>
      <c r="B720" s="3">
        <v>-3.5114953039196206E-2</v>
      </c>
      <c r="C720" s="3">
        <v>9.5962163680879842E-2</v>
      </c>
      <c r="D720" s="3">
        <v>-0.37640508456770672</v>
      </c>
    </row>
    <row r="721" spans="1:4" x14ac:dyDescent="0.35">
      <c r="A721" s="5">
        <v>45548</v>
      </c>
      <c r="B721" s="3">
        <v>-2.9781357571341815E-2</v>
      </c>
      <c r="C721" s="3">
        <v>0.10522055577110923</v>
      </c>
      <c r="D721" s="3">
        <v>-0.3651644080260531</v>
      </c>
    </row>
    <row r="722" spans="1:4" x14ac:dyDescent="0.35">
      <c r="A722" s="5">
        <v>45551</v>
      </c>
      <c r="B722" s="3">
        <v>-2.9863279679551824E-2</v>
      </c>
      <c r="C722" s="3">
        <v>0.10522055577110923</v>
      </c>
      <c r="D722" s="3">
        <v>-0.3651644080260531</v>
      </c>
    </row>
    <row r="723" spans="1:4" x14ac:dyDescent="0.35">
      <c r="A723" s="5">
        <v>45552</v>
      </c>
      <c r="B723" s="3">
        <v>-2.0712321901487307E-2</v>
      </c>
      <c r="C723" s="3">
        <v>0.11333502802938078</v>
      </c>
      <c r="D723" s="3">
        <v>-0.37251812165143394</v>
      </c>
    </row>
    <row r="724" spans="1:4" x14ac:dyDescent="0.35">
      <c r="A724" s="5">
        <v>45553</v>
      </c>
      <c r="B724" s="3">
        <v>2.247105823357276E-2</v>
      </c>
      <c r="C724" s="3">
        <v>0.11086656944463025</v>
      </c>
      <c r="D724" s="3">
        <v>-0.36852610568337008</v>
      </c>
    </row>
    <row r="725" spans="1:4" x14ac:dyDescent="0.35">
      <c r="A725" s="5">
        <v>45554</v>
      </c>
      <c r="B725" s="3">
        <v>2.4780001095051185E-2</v>
      </c>
      <c r="C725" s="3">
        <v>0.11425150181287891</v>
      </c>
      <c r="D725" s="3">
        <v>-0.35161256434499422</v>
      </c>
    </row>
    <row r="726" spans="1:4" x14ac:dyDescent="0.35">
      <c r="A726" s="5">
        <v>45555</v>
      </c>
      <c r="B726" s="3">
        <v>2.5969552992314071E-2</v>
      </c>
      <c r="C726" s="3">
        <v>0.11637210173527968</v>
      </c>
      <c r="D726" s="3">
        <v>-0.34909129110200654</v>
      </c>
    </row>
    <row r="727" spans="1:4" x14ac:dyDescent="0.35">
      <c r="A727" s="5">
        <v>45558</v>
      </c>
      <c r="B727" s="3">
        <v>2.4094337002764643E-3</v>
      </c>
      <c r="C727" s="3">
        <v>0.11401736617475899</v>
      </c>
      <c r="D727" s="3">
        <v>-0.35581468641664038</v>
      </c>
    </row>
    <row r="728" spans="1:4" x14ac:dyDescent="0.35">
      <c r="A728" s="5">
        <v>45559</v>
      </c>
      <c r="B728" s="3">
        <v>-5.9848126669923563E-3</v>
      </c>
      <c r="C728" s="3">
        <v>0.11740898813266787</v>
      </c>
      <c r="D728" s="3">
        <v>-0.3665300976993382</v>
      </c>
    </row>
    <row r="729" spans="1:4" x14ac:dyDescent="0.35">
      <c r="A729" s="5">
        <v>45560</v>
      </c>
      <c r="B729" s="3">
        <v>-9.232099120883519E-3</v>
      </c>
      <c r="C729" s="3">
        <v>0.11942255462049967</v>
      </c>
      <c r="D729" s="3">
        <v>-0.37955667612144128</v>
      </c>
    </row>
    <row r="730" spans="1:4" x14ac:dyDescent="0.35">
      <c r="A730" s="5">
        <v>45561</v>
      </c>
      <c r="B730" s="3">
        <v>-1.0047486449754395E-2</v>
      </c>
      <c r="C730" s="3">
        <v>0.11804449915042214</v>
      </c>
      <c r="D730" s="3">
        <v>-0.38060720663935288</v>
      </c>
    </row>
    <row r="731" spans="1:4" x14ac:dyDescent="0.35">
      <c r="A731" s="5">
        <v>45562</v>
      </c>
      <c r="B731" s="3">
        <v>-1.6004684116690315E-2</v>
      </c>
      <c r="C731" s="3">
        <v>0.1105320899616018</v>
      </c>
      <c r="D731" s="3">
        <v>-0.38249816157159366</v>
      </c>
    </row>
    <row r="732" spans="1:4" x14ac:dyDescent="0.35">
      <c r="A732" s="5">
        <v>45565</v>
      </c>
      <c r="B732" s="3">
        <v>-2.2123159334748621E-2</v>
      </c>
      <c r="C732" s="3">
        <v>0.1030531287210843</v>
      </c>
      <c r="D732" s="3">
        <v>-0.38197289631263787</v>
      </c>
    </row>
    <row r="733" spans="1:4" x14ac:dyDescent="0.35">
      <c r="A733" s="5">
        <v>45566</v>
      </c>
      <c r="B733" s="3">
        <v>-1.3622217665729686E-2</v>
      </c>
      <c r="C733" s="3">
        <v>0.10805694178719083</v>
      </c>
      <c r="D733" s="3">
        <v>-0.37031200756381977</v>
      </c>
    </row>
    <row r="734" spans="1:4" x14ac:dyDescent="0.35">
      <c r="A734" s="5">
        <v>45567</v>
      </c>
      <c r="B734" s="3">
        <v>-2.1772354669510441E-2</v>
      </c>
      <c r="C734" s="3">
        <v>9.6631122646936962E-2</v>
      </c>
      <c r="D734" s="3">
        <v>-0.3782960394999475</v>
      </c>
    </row>
    <row r="735" spans="1:4" x14ac:dyDescent="0.35">
      <c r="A735" s="5">
        <v>45568</v>
      </c>
      <c r="B735" s="3">
        <v>-2.1799905709669942E-2</v>
      </c>
      <c r="C735" s="3">
        <v>9.8129590730904548E-2</v>
      </c>
      <c r="D735" s="3">
        <v>-0.38617501838428403</v>
      </c>
    </row>
    <row r="736" spans="1:4" x14ac:dyDescent="0.35">
      <c r="A736" s="5">
        <v>45569</v>
      </c>
      <c r="B736" s="3">
        <v>-2.1421338822950164E-2</v>
      </c>
      <c r="C736" s="3">
        <v>9.0383045903964288E-2</v>
      </c>
      <c r="D736" s="3">
        <v>-0.3910074587666772</v>
      </c>
    </row>
    <row r="737" spans="1:4" x14ac:dyDescent="0.35">
      <c r="A737" s="5">
        <v>45572</v>
      </c>
      <c r="B737" s="3">
        <v>-1.7442861408788923E-2</v>
      </c>
      <c r="C737" s="3">
        <v>9.3941907603387609E-2</v>
      </c>
      <c r="D737" s="3">
        <v>-0.38050215358756168</v>
      </c>
    </row>
    <row r="738" spans="1:4" x14ac:dyDescent="0.35">
      <c r="A738" s="5">
        <v>45573</v>
      </c>
      <c r="B738" s="3">
        <v>-1.8688896187322168E-2</v>
      </c>
      <c r="C738" s="3">
        <v>9.416266406218643E-2</v>
      </c>
      <c r="D738" s="3">
        <v>-0.38375879819308756</v>
      </c>
    </row>
    <row r="739" spans="1:4" x14ac:dyDescent="0.35">
      <c r="A739" s="5">
        <v>45574</v>
      </c>
      <c r="B739" s="3">
        <v>-1.4574141841617205E-2</v>
      </c>
      <c r="C739" s="3">
        <v>9.3687703196286165E-2</v>
      </c>
      <c r="D739" s="3">
        <v>-0.38176279020905557</v>
      </c>
    </row>
    <row r="740" spans="1:4" x14ac:dyDescent="0.35">
      <c r="A740" s="5">
        <v>45575</v>
      </c>
      <c r="B740" s="3">
        <v>-6.2358747693893601E-3</v>
      </c>
      <c r="C740" s="3">
        <v>9.7721525761609973E-2</v>
      </c>
      <c r="D740" s="3">
        <v>-0.37619497846412431</v>
      </c>
    </row>
    <row r="741" spans="1:4" x14ac:dyDescent="0.35">
      <c r="A741" s="5">
        <v>45576</v>
      </c>
      <c r="B741" s="3">
        <v>2.1021648767998169E-3</v>
      </c>
      <c r="C741" s="3">
        <v>9.2777919002448472E-2</v>
      </c>
      <c r="D741" s="3">
        <v>-0.38375879819308756</v>
      </c>
    </row>
    <row r="742" spans="1:4" x14ac:dyDescent="0.35">
      <c r="A742" s="5">
        <v>45579</v>
      </c>
      <c r="B742" s="3">
        <v>-2.2079201130343118E-2</v>
      </c>
      <c r="C742" s="3">
        <v>9.4778106310958954E-2</v>
      </c>
      <c r="D742" s="3">
        <v>-0.38880134467906291</v>
      </c>
    </row>
    <row r="743" spans="1:4" x14ac:dyDescent="0.35">
      <c r="A743" s="5">
        <v>45580</v>
      </c>
      <c r="B743" s="3">
        <v>-2.3739346236556491E-2</v>
      </c>
      <c r="C743" s="3">
        <v>9.8410553496648623E-2</v>
      </c>
      <c r="D743" s="3">
        <v>-0.39006198130055669</v>
      </c>
    </row>
    <row r="744" spans="1:4" x14ac:dyDescent="0.35">
      <c r="A744" s="5">
        <v>45581</v>
      </c>
      <c r="B744" s="3">
        <v>-2.7015808202314529E-2</v>
      </c>
      <c r="C744" s="3">
        <v>9.216247675367617E-2</v>
      </c>
      <c r="D744" s="3">
        <v>-0.38943166298980991</v>
      </c>
    </row>
    <row r="745" spans="1:4" x14ac:dyDescent="0.35">
      <c r="A745" s="5">
        <v>45582</v>
      </c>
      <c r="B745" s="3">
        <v>-3.11044247982456E-2</v>
      </c>
      <c r="C745" s="3">
        <v>9.8056005244638422E-2</v>
      </c>
      <c r="D745" s="3">
        <v>-0.38564975312532834</v>
      </c>
    </row>
    <row r="746" spans="1:4" x14ac:dyDescent="0.35">
      <c r="A746" s="5">
        <v>45583</v>
      </c>
      <c r="B746" s="3">
        <v>-8.551591677887771E-3</v>
      </c>
      <c r="C746" s="3">
        <v>0.10109976854019775</v>
      </c>
      <c r="D746" s="3">
        <v>-0.377350562033827</v>
      </c>
    </row>
    <row r="747" spans="1:4" x14ac:dyDescent="0.35">
      <c r="A747" s="5">
        <v>45586</v>
      </c>
      <c r="B747" s="3">
        <v>-1.8219797492342593E-2</v>
      </c>
      <c r="C747" s="3">
        <v>0.10089239126072025</v>
      </c>
      <c r="D747" s="3">
        <v>-0.37272822775501624</v>
      </c>
    </row>
    <row r="748" spans="1:4" x14ac:dyDescent="0.35">
      <c r="A748" s="5">
        <v>45587</v>
      </c>
      <c r="B748" s="3">
        <v>-1.946583227087606E-2</v>
      </c>
      <c r="C748" s="3">
        <v>9.8791860107301011E-2</v>
      </c>
      <c r="D748" s="3">
        <v>-0.37073221977098436</v>
      </c>
    </row>
    <row r="749" spans="1:4" x14ac:dyDescent="0.35">
      <c r="A749" s="5">
        <v>45588</v>
      </c>
      <c r="B749" s="3">
        <v>-5.1982914929666113E-2</v>
      </c>
      <c r="C749" s="3">
        <v>9.8116211551583454E-2</v>
      </c>
      <c r="D749" s="3">
        <v>-0.36936653009769926</v>
      </c>
    </row>
    <row r="750" spans="1:4" x14ac:dyDescent="0.35">
      <c r="A750" s="5">
        <v>45589</v>
      </c>
      <c r="B750" s="3">
        <v>-5.1603552051809776E-2</v>
      </c>
      <c r="C750" s="3">
        <v>9.1894893167253189E-2</v>
      </c>
      <c r="D750" s="3">
        <v>-0.37482928879083943</v>
      </c>
    </row>
    <row r="751" spans="1:4" x14ac:dyDescent="0.35">
      <c r="A751" s="5">
        <v>45590</v>
      </c>
      <c r="B751" s="3">
        <v>-5.7713596261705913E-2</v>
      </c>
      <c r="C751" s="3">
        <v>8.2576294770078773E-2</v>
      </c>
      <c r="D751" s="3">
        <v>-0.37882130475890319</v>
      </c>
    </row>
    <row r="752" spans="1:4" x14ac:dyDescent="0.35">
      <c r="A752" s="5">
        <v>45593</v>
      </c>
      <c r="B752" s="3">
        <v>-7.7693184973772422E-2</v>
      </c>
      <c r="C752" s="3">
        <v>7.7338346065852326E-2</v>
      </c>
      <c r="D752" s="3">
        <v>-0.38092236579472627</v>
      </c>
    </row>
    <row r="753" spans="1:4" x14ac:dyDescent="0.35">
      <c r="A753" s="5">
        <v>45594</v>
      </c>
      <c r="B753" s="3">
        <v>-7.5932338866410154E-2</v>
      </c>
      <c r="C753" s="3">
        <v>8.042224689937516E-2</v>
      </c>
      <c r="D753" s="3">
        <v>-0.3769303498266624</v>
      </c>
    </row>
    <row r="754" spans="1:4" x14ac:dyDescent="0.35">
      <c r="A754" s="5">
        <v>45595</v>
      </c>
      <c r="B754" s="3">
        <v>-0.1050364876912937</v>
      </c>
      <c r="C754" s="3">
        <v>7.1591988547422547E-2</v>
      </c>
      <c r="D754" s="3">
        <v>-0.38417901040025215</v>
      </c>
    </row>
    <row r="755" spans="1:4" x14ac:dyDescent="0.35">
      <c r="A755" s="5">
        <v>45596</v>
      </c>
      <c r="B755" s="3">
        <v>-0.10506179696049667</v>
      </c>
      <c r="C755" s="3">
        <v>7.1591988547422547E-2</v>
      </c>
      <c r="D755" s="3">
        <v>-0.38417901040025215</v>
      </c>
    </row>
    <row r="756" spans="1:4" x14ac:dyDescent="0.35">
      <c r="A756" s="5">
        <v>45597</v>
      </c>
      <c r="B756" s="3">
        <v>-0.10352018955478048</v>
      </c>
      <c r="C756" s="3">
        <v>7.2996802376142256E-2</v>
      </c>
      <c r="D756" s="3">
        <v>-0.38754070805756913</v>
      </c>
    </row>
    <row r="757" spans="1:4" x14ac:dyDescent="0.35">
      <c r="A757" s="5">
        <v>45600</v>
      </c>
      <c r="B757" s="3">
        <v>-9.8154283344663584E-2</v>
      </c>
      <c r="C757" s="3">
        <v>8.1325341503552195E-2</v>
      </c>
      <c r="D757" s="3">
        <v>-0.3905872465595126</v>
      </c>
    </row>
    <row r="758" spans="1:4" x14ac:dyDescent="0.35">
      <c r="A758" s="5">
        <v>45601</v>
      </c>
      <c r="B758" s="3">
        <v>-9.6555315842955181E-2</v>
      </c>
      <c r="C758" s="3">
        <v>8.4181796288615773E-2</v>
      </c>
      <c r="D758" s="3">
        <v>-0.38985187519697451</v>
      </c>
    </row>
    <row r="759" spans="1:4" x14ac:dyDescent="0.35">
      <c r="A759" s="5">
        <v>45602</v>
      </c>
      <c r="B759" s="3">
        <v>-8.3585095122783226E-2</v>
      </c>
      <c r="C759" s="3">
        <v>9.3192673561403927E-2</v>
      </c>
      <c r="D759" s="3">
        <v>-0.35213782960395001</v>
      </c>
    </row>
    <row r="760" spans="1:4" x14ac:dyDescent="0.35">
      <c r="A760" s="5">
        <v>45603</v>
      </c>
      <c r="B760" s="3">
        <v>-8.3611005446518005E-2</v>
      </c>
      <c r="C760" s="3">
        <v>8.5907710421042838E-2</v>
      </c>
      <c r="D760" s="3">
        <v>-0.34404874461603108</v>
      </c>
    </row>
    <row r="761" spans="1:4" x14ac:dyDescent="0.35">
      <c r="A761" s="5">
        <v>45604</v>
      </c>
      <c r="B761" s="3">
        <v>-9.3383762260068615E-2</v>
      </c>
      <c r="C761" s="3">
        <v>8.4543034130286632E-2</v>
      </c>
      <c r="D761" s="3">
        <v>-0.35760058829709007</v>
      </c>
    </row>
    <row r="762" spans="1:4" x14ac:dyDescent="0.35">
      <c r="A762" s="5">
        <v>45607</v>
      </c>
      <c r="B762" s="3">
        <v>-9.2404806874967993E-2</v>
      </c>
      <c r="C762" s="3">
        <v>7.652890571692339E-2</v>
      </c>
      <c r="D762" s="3">
        <v>-0.36905137094232587</v>
      </c>
    </row>
    <row r="763" spans="1:4" x14ac:dyDescent="0.35">
      <c r="A763" s="5">
        <v>45608</v>
      </c>
      <c r="B763" s="3">
        <v>-8.8369310503872645E-2</v>
      </c>
      <c r="C763" s="3">
        <v>7.597366977509612E-2</v>
      </c>
      <c r="D763" s="3">
        <v>-0.37241306859964274</v>
      </c>
    </row>
    <row r="764" spans="1:4" x14ac:dyDescent="0.35">
      <c r="A764" s="5">
        <v>45609</v>
      </c>
      <c r="B764" s="3">
        <v>-9.3349404683454651E-2</v>
      </c>
      <c r="C764" s="3">
        <v>7.8027373800891198E-2</v>
      </c>
      <c r="D764" s="3">
        <v>-0.36915642399411708</v>
      </c>
    </row>
    <row r="765" spans="1:4" x14ac:dyDescent="0.35">
      <c r="A765" s="5">
        <v>45610</v>
      </c>
      <c r="B765" s="3">
        <v>-4.1635631207318502E-2</v>
      </c>
      <c r="C765" s="3">
        <v>7.0789237788154269E-2</v>
      </c>
      <c r="D765" s="3">
        <v>-0.3660048324403824</v>
      </c>
    </row>
    <row r="766" spans="1:4" x14ac:dyDescent="0.35">
      <c r="A766" s="5">
        <v>45611</v>
      </c>
      <c r="B766" s="3">
        <v>-4.1825142076717392E-2</v>
      </c>
      <c r="C766" s="3">
        <v>6.5277015907844405E-2</v>
      </c>
      <c r="D766" s="3">
        <v>-0.37409391742830134</v>
      </c>
    </row>
    <row r="767" spans="1:4" x14ac:dyDescent="0.35">
      <c r="A767" s="5">
        <v>45614</v>
      </c>
      <c r="B767" s="3">
        <v>-4.6779748295208368E-2</v>
      </c>
      <c r="C767" s="3">
        <v>7.3036939914105758E-2</v>
      </c>
      <c r="D767" s="3">
        <v>-0.3782960394999475</v>
      </c>
    </row>
    <row r="768" spans="1:4" x14ac:dyDescent="0.35">
      <c r="A768" s="5">
        <v>45615</v>
      </c>
      <c r="B768" s="3">
        <v>-4.599446242707772E-2</v>
      </c>
      <c r="C768" s="3">
        <v>7.1899709671808809E-2</v>
      </c>
      <c r="D768" s="3">
        <v>-0.3774556150856182</v>
      </c>
    </row>
    <row r="769" spans="1:4" x14ac:dyDescent="0.35">
      <c r="A769" s="5">
        <v>45616</v>
      </c>
      <c r="B769" s="3">
        <v>-4.3259826754644459E-2</v>
      </c>
      <c r="C769" s="3">
        <v>6.9116840373011579E-2</v>
      </c>
      <c r="D769" s="3">
        <v>-0.37714045593024481</v>
      </c>
    </row>
    <row r="770" spans="1:4" x14ac:dyDescent="0.35">
      <c r="A770" s="5">
        <v>45617</v>
      </c>
      <c r="B770" s="3">
        <v>-8.1412250500960237E-2</v>
      </c>
      <c r="C770" s="3">
        <v>6.2761730195469934E-2</v>
      </c>
      <c r="D770" s="3">
        <v>-0.3790314108624856</v>
      </c>
    </row>
    <row r="771" spans="1:4" x14ac:dyDescent="0.35">
      <c r="A771" s="5">
        <v>45618</v>
      </c>
      <c r="B771" s="3">
        <v>-7.0378838663508692E-2</v>
      </c>
      <c r="C771" s="3">
        <v>6.3497585058132522E-2</v>
      </c>
      <c r="D771" s="3">
        <v>-0.3785061456035298</v>
      </c>
    </row>
    <row r="772" spans="1:4" x14ac:dyDescent="0.35">
      <c r="A772" s="5">
        <v>45621</v>
      </c>
      <c r="B772" s="3">
        <v>-6.9034052249875688E-2</v>
      </c>
      <c r="C772" s="3">
        <v>6.8628500327789999E-2</v>
      </c>
      <c r="D772" s="3">
        <v>-0.36631999159575579</v>
      </c>
    </row>
    <row r="773" spans="1:4" x14ac:dyDescent="0.35">
      <c r="A773" s="5">
        <v>45622</v>
      </c>
      <c r="B773" s="3">
        <v>-6.3862075472201907E-2</v>
      </c>
      <c r="C773" s="3">
        <v>7.2441566434314986E-2</v>
      </c>
      <c r="D773" s="3">
        <v>-0.37409391742830134</v>
      </c>
    </row>
    <row r="774" spans="1:4" x14ac:dyDescent="0.35">
      <c r="A774" s="5">
        <v>45623</v>
      </c>
      <c r="B774" s="3">
        <v>-7.7209222362669139E-2</v>
      </c>
      <c r="C774" s="3">
        <v>7.3177421296977796E-2</v>
      </c>
      <c r="D774" s="3">
        <v>-0.37325349301397204</v>
      </c>
    </row>
    <row r="775" spans="1:4" x14ac:dyDescent="0.35">
      <c r="A775" s="5">
        <v>45624</v>
      </c>
      <c r="B775" s="3">
        <v>-8.795684089261735E-2</v>
      </c>
      <c r="C775" s="3">
        <v>6.8655258686432186E-2</v>
      </c>
      <c r="D775" s="3">
        <v>-0.38302342683054946</v>
      </c>
    </row>
    <row r="776" spans="1:4" x14ac:dyDescent="0.35">
      <c r="A776" s="5">
        <v>45625</v>
      </c>
      <c r="B776" s="3">
        <v>-0.10284656987182494</v>
      </c>
      <c r="C776" s="3">
        <v>6.6514589995049667E-2</v>
      </c>
      <c r="D776" s="3">
        <v>-0.38564975312532834</v>
      </c>
    </row>
    <row r="777" spans="1:4" x14ac:dyDescent="0.35">
      <c r="A777" s="5">
        <v>45628</v>
      </c>
      <c r="B777" s="3">
        <v>-9.3289900284808103E-2</v>
      </c>
      <c r="C777" s="3">
        <v>6.7310651164657731E-2</v>
      </c>
      <c r="D777" s="3">
        <v>-0.37871625170711209</v>
      </c>
    </row>
    <row r="778" spans="1:4" x14ac:dyDescent="0.35">
      <c r="A778" s="5">
        <v>45629</v>
      </c>
      <c r="B778" s="3">
        <v>-6.2996833106627403E-2</v>
      </c>
      <c r="C778" s="3">
        <v>7.4990300094992302E-2</v>
      </c>
      <c r="D778" s="3">
        <v>-0.36978674230486397</v>
      </c>
    </row>
    <row r="779" spans="1:4" x14ac:dyDescent="0.35">
      <c r="A779" s="5">
        <v>45630</v>
      </c>
      <c r="B779" s="3">
        <v>-5.132076401696517E-2</v>
      </c>
      <c r="C779" s="3">
        <v>7.9759977522978698E-2</v>
      </c>
      <c r="D779" s="3">
        <v>-0.3531883601218615</v>
      </c>
    </row>
    <row r="780" spans="1:4" x14ac:dyDescent="0.35">
      <c r="A780" s="5">
        <v>45631</v>
      </c>
      <c r="B780" s="3">
        <v>-4.9780959774844757E-2</v>
      </c>
      <c r="C780" s="3">
        <v>8.0796863920367334E-2</v>
      </c>
      <c r="D780" s="3">
        <v>-0.35444899674335539</v>
      </c>
    </row>
    <row r="781" spans="1:4" x14ac:dyDescent="0.35">
      <c r="A781" s="5">
        <v>45632</v>
      </c>
      <c r="B781" s="3">
        <v>-6.2485618934247089E-3</v>
      </c>
      <c r="C781" s="3">
        <v>7.9198051991490992E-2</v>
      </c>
      <c r="D781" s="3">
        <v>-0.35024687467170923</v>
      </c>
    </row>
    <row r="782" spans="1:4" x14ac:dyDescent="0.35">
      <c r="A782" s="5">
        <v>45635</v>
      </c>
      <c r="B782" s="3">
        <v>1.4777625205643519E-2</v>
      </c>
      <c r="C782" s="3">
        <v>7.7980546673267259E-2</v>
      </c>
      <c r="D782" s="3">
        <v>-0.35161256434499422</v>
      </c>
    </row>
    <row r="783" spans="1:4" x14ac:dyDescent="0.35">
      <c r="A783" s="5">
        <v>45636</v>
      </c>
      <c r="B783" s="3">
        <v>1.3799319609225646E-2</v>
      </c>
      <c r="C783" s="3">
        <v>7.6334907616766978E-2</v>
      </c>
      <c r="D783" s="3">
        <v>-0.34772560142872144</v>
      </c>
    </row>
    <row r="784" spans="1:4" x14ac:dyDescent="0.35">
      <c r="A784" s="5">
        <v>45637</v>
      </c>
      <c r="B784" s="3">
        <v>1.0536340758639851E-2</v>
      </c>
      <c r="C784" s="3">
        <v>7.2475014382617831E-2</v>
      </c>
      <c r="D784" s="3">
        <v>-0.34446895682319567</v>
      </c>
    </row>
    <row r="785" spans="1:4" x14ac:dyDescent="0.35">
      <c r="A785" s="5">
        <v>45638</v>
      </c>
      <c r="B785" s="3">
        <v>1.3456783504978587E-2</v>
      </c>
      <c r="C785" s="3">
        <v>7.1725780340633927E-2</v>
      </c>
      <c r="D785" s="3">
        <v>-0.34509927513394256</v>
      </c>
    </row>
    <row r="786" spans="1:4" x14ac:dyDescent="0.35">
      <c r="A786" s="5">
        <v>45639</v>
      </c>
      <c r="B786" s="3">
        <v>1.5240079811339013E-2</v>
      </c>
      <c r="C786" s="3">
        <v>7.6187736644234283E-2</v>
      </c>
      <c r="D786" s="3">
        <v>-0.33081206009034558</v>
      </c>
    </row>
    <row r="787" spans="1:4" x14ac:dyDescent="0.35">
      <c r="A787" s="5">
        <v>45642</v>
      </c>
      <c r="B787" s="3">
        <v>1.1560635149097109E-2</v>
      </c>
      <c r="C787" s="3">
        <v>7.4916714608725954E-2</v>
      </c>
      <c r="D787" s="3">
        <v>-0.32419371782750284</v>
      </c>
    </row>
    <row r="788" spans="1:4" x14ac:dyDescent="0.35">
      <c r="A788" s="5">
        <v>45643</v>
      </c>
      <c r="B788" s="3">
        <v>3.4346540396072989E-3</v>
      </c>
      <c r="C788" s="3">
        <v>6.8548225251862993E-2</v>
      </c>
      <c r="D788" s="3">
        <v>-0.32639983191511712</v>
      </c>
    </row>
    <row r="789" spans="1:4" x14ac:dyDescent="0.35">
      <c r="A789" s="5">
        <v>45644</v>
      </c>
      <c r="B789" s="3">
        <v>-1.5936707049708509E-3</v>
      </c>
      <c r="C789" s="3">
        <v>7.0053382925491459E-2</v>
      </c>
      <c r="D789" s="3">
        <v>-0.32934131736526939</v>
      </c>
    </row>
    <row r="790" spans="1:4" x14ac:dyDescent="0.35">
      <c r="A790" s="5">
        <v>45645</v>
      </c>
      <c r="B790" s="3">
        <v>1.5540931971570915E-2</v>
      </c>
      <c r="C790" s="3">
        <v>7.0394551998180344E-2</v>
      </c>
      <c r="D790" s="3">
        <v>-0.33049690093497219</v>
      </c>
    </row>
    <row r="791" spans="1:4" x14ac:dyDescent="0.35">
      <c r="A791" s="5">
        <v>45646</v>
      </c>
      <c r="B791" s="3">
        <v>2.2061837565732434E-2</v>
      </c>
      <c r="C791" s="3">
        <v>6.4587988172805533E-2</v>
      </c>
      <c r="D791" s="3">
        <v>-0.33291312112616867</v>
      </c>
    </row>
    <row r="792" spans="1:4" x14ac:dyDescent="0.35">
      <c r="A792" s="5">
        <v>45649</v>
      </c>
      <c r="B792" s="3">
        <v>1.5291478096165045E-2</v>
      </c>
      <c r="C792" s="3">
        <v>6.7792301620218653E-2</v>
      </c>
      <c r="D792" s="3">
        <v>-0.32745036243302872</v>
      </c>
    </row>
    <row r="793" spans="1:4" x14ac:dyDescent="0.35">
      <c r="A793" s="5">
        <v>45650</v>
      </c>
      <c r="B793" s="3">
        <v>2.1035300104741195E-2</v>
      </c>
      <c r="C793" s="3">
        <v>7.2334532999745793E-2</v>
      </c>
      <c r="D793" s="3">
        <v>-0.32660993801869953</v>
      </c>
    </row>
    <row r="794" spans="1:4" x14ac:dyDescent="0.35">
      <c r="A794" s="5">
        <v>45651</v>
      </c>
      <c r="B794" s="3">
        <v>2.1031661288116288E-2</v>
      </c>
      <c r="C794" s="3">
        <v>7.2334532999745793E-2</v>
      </c>
      <c r="D794" s="3">
        <v>-0.32660993801869953</v>
      </c>
    </row>
    <row r="795" spans="1:4" x14ac:dyDescent="0.35">
      <c r="A795" s="5">
        <v>45652</v>
      </c>
      <c r="B795" s="3">
        <v>3.3192775910455996E-2</v>
      </c>
      <c r="C795" s="3">
        <v>7.9499083526216596E-2</v>
      </c>
      <c r="D795" s="3">
        <v>-0.318100640823616</v>
      </c>
    </row>
    <row r="796" spans="1:4" x14ac:dyDescent="0.35">
      <c r="A796" s="5">
        <v>45653</v>
      </c>
      <c r="B796" s="3">
        <v>4.1313758796661881E-2</v>
      </c>
      <c r="C796" s="3">
        <v>8.9158850996080119E-2</v>
      </c>
      <c r="D796" s="3">
        <v>-0.31526420842525471</v>
      </c>
    </row>
    <row r="797" spans="1:4" x14ac:dyDescent="0.35">
      <c r="A797" s="5">
        <v>45656</v>
      </c>
      <c r="B797" s="3">
        <v>4.7096806598665442E-2</v>
      </c>
      <c r="C797" s="3">
        <v>9.5540719532263951E-2</v>
      </c>
      <c r="D797" s="3">
        <v>-0.31631473894316631</v>
      </c>
    </row>
    <row r="798" spans="1:4" x14ac:dyDescent="0.35">
      <c r="A798" s="5">
        <v>45657</v>
      </c>
      <c r="B798" s="3">
        <v>4.7884570760832634E-2</v>
      </c>
      <c r="C798" s="3">
        <v>9.8651378724428973E-2</v>
      </c>
      <c r="D798" s="3">
        <v>-0.31736526946107779</v>
      </c>
    </row>
    <row r="799" spans="1:4" x14ac:dyDescent="0.35">
      <c r="A799" s="5">
        <v>45658</v>
      </c>
      <c r="B799" s="3">
        <v>4.7880850720622536E-2</v>
      </c>
      <c r="C799" s="3">
        <v>9.8651378724428973E-2</v>
      </c>
      <c r="D799" s="3">
        <v>-0.31736526946107779</v>
      </c>
    </row>
    <row r="800" spans="1:4" x14ac:dyDescent="0.35">
      <c r="A800" s="5">
        <v>45659</v>
      </c>
      <c r="B800" s="3">
        <v>4.771868178938532E-2</v>
      </c>
      <c r="C800" s="3">
        <v>9.2323026905529515E-2</v>
      </c>
      <c r="D800" s="3">
        <v>-0.3155793675806281</v>
      </c>
    </row>
    <row r="801" spans="1:4" x14ac:dyDescent="0.35">
      <c r="A801" s="5">
        <v>45660</v>
      </c>
      <c r="B801" s="3">
        <v>5.9407465277962812E-2</v>
      </c>
      <c r="C801" s="3">
        <v>9.004187683127518E-2</v>
      </c>
      <c r="D801" s="3">
        <v>-0.31915117134152748</v>
      </c>
    </row>
    <row r="802" spans="1:4" x14ac:dyDescent="0.35">
      <c r="A802" s="5">
        <v>45663</v>
      </c>
      <c r="B802" s="3">
        <v>5.3061990590878017E-2</v>
      </c>
      <c r="C802" s="3">
        <v>8.7372730556707801E-2</v>
      </c>
      <c r="D802" s="3">
        <v>-0.32020170185943908</v>
      </c>
    </row>
    <row r="803" spans="1:4" x14ac:dyDescent="0.35">
      <c r="A803" s="5">
        <v>45664</v>
      </c>
      <c r="B803" s="3">
        <v>5.7093002997697706E-2</v>
      </c>
      <c r="C803" s="3">
        <v>9.0262633290074001E-2</v>
      </c>
      <c r="D803" s="3">
        <v>-0.30854081311062087</v>
      </c>
    </row>
    <row r="804" spans="1:4" x14ac:dyDescent="0.35">
      <c r="A804" s="5">
        <v>45665</v>
      </c>
      <c r="B804" s="3">
        <v>4.309924245417629E-2</v>
      </c>
      <c r="C804" s="3">
        <v>8.0255007157860936E-2</v>
      </c>
      <c r="D804" s="3">
        <v>-0.32293308120600894</v>
      </c>
    </row>
    <row r="805" spans="1:4" x14ac:dyDescent="0.35">
      <c r="A805" s="5">
        <v>45666</v>
      </c>
      <c r="B805" s="3">
        <v>1.2640527895980247E-2</v>
      </c>
      <c r="C805" s="3">
        <v>7.0876202453741488E-2</v>
      </c>
      <c r="D805" s="3">
        <v>-0.33963651644080262</v>
      </c>
    </row>
    <row r="806" spans="1:4" x14ac:dyDescent="0.35">
      <c r="A806" s="5">
        <v>45667</v>
      </c>
      <c r="B806" s="3">
        <v>2.9421007079095451E-2</v>
      </c>
      <c r="C806" s="3">
        <v>7.1946536799432748E-2</v>
      </c>
      <c r="D806" s="3">
        <v>-0.34257800189095489</v>
      </c>
    </row>
    <row r="807" spans="1:4" x14ac:dyDescent="0.35">
      <c r="A807" s="5">
        <v>45670</v>
      </c>
      <c r="B807" s="3">
        <v>-1.4075403287057142E-3</v>
      </c>
      <c r="C807" s="3">
        <v>6.069464699035354E-2</v>
      </c>
      <c r="D807" s="3">
        <v>-0.3532934131736527</v>
      </c>
    </row>
    <row r="808" spans="1:4" x14ac:dyDescent="0.35">
      <c r="A808" s="5">
        <v>45671</v>
      </c>
      <c r="B808" s="3">
        <v>-1.1938557519314275E-2</v>
      </c>
      <c r="C808" s="3">
        <v>5.4587051630253125E-2</v>
      </c>
      <c r="D808" s="3">
        <v>-0.35875617186679276</v>
      </c>
    </row>
    <row r="809" spans="1:4" x14ac:dyDescent="0.35">
      <c r="A809" s="5">
        <v>45672</v>
      </c>
      <c r="B809" s="3">
        <v>-3.0807005861499093E-2</v>
      </c>
      <c r="C809" s="3">
        <v>4.4994180056995292E-2</v>
      </c>
      <c r="D809" s="3">
        <v>-0.37997688832860588</v>
      </c>
    </row>
    <row r="810" spans="1:4" x14ac:dyDescent="0.35">
      <c r="A810" s="5">
        <v>45673</v>
      </c>
      <c r="B810" s="3">
        <v>-2.674875236372154E-2</v>
      </c>
      <c r="C810" s="3">
        <v>4.059243006034019E-2</v>
      </c>
      <c r="D810" s="3">
        <v>-0.36905137094232587</v>
      </c>
    </row>
    <row r="811" spans="1:4" x14ac:dyDescent="0.35">
      <c r="A811" s="5">
        <v>45674</v>
      </c>
      <c r="B811" s="3">
        <v>-1.4605667281767043E-2</v>
      </c>
      <c r="C811" s="3">
        <v>4.8071391300857691E-2</v>
      </c>
      <c r="D811" s="3">
        <v>-0.36190776342052733</v>
      </c>
    </row>
    <row r="812" spans="1:4" x14ac:dyDescent="0.35">
      <c r="A812" s="5">
        <v>45677</v>
      </c>
      <c r="B812" s="3">
        <v>-7.893508929684212E-3</v>
      </c>
      <c r="C812" s="3">
        <v>5.1830940690098082E-2</v>
      </c>
      <c r="D812" s="3">
        <v>-0.35612984557201388</v>
      </c>
    </row>
    <row r="813" spans="1:4" x14ac:dyDescent="0.35">
      <c r="A813" s="5">
        <v>45678</v>
      </c>
      <c r="B813" s="3">
        <v>-9.2300756052254851E-4</v>
      </c>
      <c r="C813" s="3">
        <v>5.7262887494481163E-2</v>
      </c>
      <c r="D813" s="3">
        <v>-0.34625485870364536</v>
      </c>
    </row>
    <row r="814" spans="1:4" x14ac:dyDescent="0.35">
      <c r="A814" s="5">
        <v>45679</v>
      </c>
      <c r="B814" s="3">
        <v>-3.935859419605503E-3</v>
      </c>
      <c r="C814" s="3">
        <v>6.2173046305339597E-2</v>
      </c>
      <c r="D814" s="3">
        <v>-0.353503519277235</v>
      </c>
    </row>
    <row r="815" spans="1:4" x14ac:dyDescent="0.35">
      <c r="A815" s="5">
        <v>45680</v>
      </c>
      <c r="B815" s="3">
        <v>-5.9102792734075926E-3</v>
      </c>
      <c r="C815" s="3">
        <v>5.5082081265135363E-2</v>
      </c>
      <c r="D815" s="3">
        <v>-0.36264313478306542</v>
      </c>
    </row>
    <row r="816" spans="1:4" x14ac:dyDescent="0.35">
      <c r="A816" s="5">
        <v>45681</v>
      </c>
      <c r="B816" s="3">
        <v>-1.6121982345275288E-2</v>
      </c>
      <c r="C816" s="3">
        <v>5.2760793652917304E-2</v>
      </c>
      <c r="D816" s="3">
        <v>-0.36863115873516128</v>
      </c>
    </row>
    <row r="817" spans="1:4" x14ac:dyDescent="0.35">
      <c r="A817" s="5">
        <v>45684</v>
      </c>
      <c r="B817" s="3">
        <v>-5.0203017018118246E-2</v>
      </c>
      <c r="C817" s="3">
        <v>4.288695931391584E-2</v>
      </c>
      <c r="D817" s="3">
        <v>-0.38312847988234056</v>
      </c>
    </row>
    <row r="818" spans="1:4" x14ac:dyDescent="0.35">
      <c r="A818" s="5">
        <v>45685</v>
      </c>
      <c r="B818" s="3">
        <v>-4.944679454081724E-2</v>
      </c>
      <c r="C818" s="3">
        <v>3.8685897007077585E-2</v>
      </c>
      <c r="D818" s="3">
        <v>-0.3901670343523479</v>
      </c>
    </row>
    <row r="819" spans="1:4" x14ac:dyDescent="0.35">
      <c r="A819" s="5">
        <v>45686</v>
      </c>
      <c r="B819" s="3">
        <v>-4.9450238420837178E-2</v>
      </c>
      <c r="C819" s="3">
        <v>3.8685897007077585E-2</v>
      </c>
      <c r="D819" s="3">
        <v>-0.3901670343523479</v>
      </c>
    </row>
    <row r="820" spans="1:4" x14ac:dyDescent="0.35">
      <c r="A820" s="5">
        <v>45687</v>
      </c>
      <c r="B820" s="3">
        <v>-4.9453682300857116E-2</v>
      </c>
      <c r="C820" s="3">
        <v>3.8685897007077585E-2</v>
      </c>
      <c r="D820" s="3">
        <v>-0.3901670343523479</v>
      </c>
    </row>
    <row r="821" spans="1:4" x14ac:dyDescent="0.35">
      <c r="A821" s="5">
        <v>45688</v>
      </c>
      <c r="B821" s="3">
        <v>-4.3119253907670796E-2</v>
      </c>
      <c r="C821" s="3">
        <v>4.1515593433498976E-2</v>
      </c>
      <c r="D821" s="3">
        <v>-0.388906397730854</v>
      </c>
    </row>
    <row r="822" spans="1:4" x14ac:dyDescent="0.35">
      <c r="A822" s="5">
        <v>45691</v>
      </c>
      <c r="B822" s="3">
        <v>-5.3244201385719947E-2</v>
      </c>
      <c r="C822" s="3">
        <v>3.9314718435171425E-2</v>
      </c>
      <c r="D822" s="3">
        <v>-0.39279336064712678</v>
      </c>
    </row>
    <row r="823" spans="1:4" x14ac:dyDescent="0.35">
      <c r="A823" s="5">
        <v>45692</v>
      </c>
      <c r="B823" s="3">
        <v>-4.6609243257445865E-2</v>
      </c>
      <c r="C823" s="3">
        <v>4.662643993417448E-2</v>
      </c>
      <c r="D823" s="3">
        <v>-0.39142767097384179</v>
      </c>
    </row>
    <row r="824" spans="1:4" x14ac:dyDescent="0.35">
      <c r="A824" s="5">
        <v>45693</v>
      </c>
      <c r="B824" s="3">
        <v>-3.2444608921084583E-2</v>
      </c>
      <c r="C824" s="3">
        <v>5.3282581646441951E-2</v>
      </c>
      <c r="D824" s="3">
        <v>-0.38228805546801137</v>
      </c>
    </row>
    <row r="825" spans="1:4" x14ac:dyDescent="0.35">
      <c r="A825" s="5">
        <v>45694</v>
      </c>
      <c r="B825" s="3">
        <v>-2.2753906545209479E-2</v>
      </c>
      <c r="C825" s="3">
        <v>6.0413684224609687E-2</v>
      </c>
      <c r="D825" s="3">
        <v>-0.37955667612144128</v>
      </c>
    </row>
    <row r="826" spans="1:4" x14ac:dyDescent="0.35">
      <c r="A826" s="5">
        <v>45695</v>
      </c>
      <c r="B826" s="3">
        <v>1.2670642352494044E-2</v>
      </c>
      <c r="C826" s="3">
        <v>6.4253508689777084E-2</v>
      </c>
      <c r="D826" s="3">
        <v>-0.36264313478306542</v>
      </c>
    </row>
    <row r="827" spans="1:4" x14ac:dyDescent="0.35">
      <c r="A827" s="5">
        <v>45698</v>
      </c>
      <c r="B827" s="3">
        <v>5.074582432973429E-3</v>
      </c>
      <c r="C827" s="3">
        <v>6.4253508689777084E-2</v>
      </c>
      <c r="D827" s="3">
        <v>-0.36264313478306542</v>
      </c>
    </row>
    <row r="828" spans="1:4" x14ac:dyDescent="0.35">
      <c r="A828" s="5">
        <v>45699</v>
      </c>
      <c r="B828" s="3">
        <v>5.0709761057827762E-3</v>
      </c>
      <c r="C828" s="3">
        <v>6.4253508689777084E-2</v>
      </c>
      <c r="D828" s="3">
        <v>-0.36264313478306542</v>
      </c>
    </row>
    <row r="829" spans="1:4" x14ac:dyDescent="0.35">
      <c r="A829" s="5">
        <v>45700</v>
      </c>
      <c r="B829" s="3">
        <v>1.4056112360464557E-2</v>
      </c>
      <c r="C829" s="3">
        <v>7.2374670537709296E-2</v>
      </c>
      <c r="D829" s="3">
        <v>-0.37913646391427669</v>
      </c>
    </row>
    <row r="830" spans="1:4" x14ac:dyDescent="0.35">
      <c r="A830" s="5">
        <v>45701</v>
      </c>
      <c r="B830" s="3">
        <v>8.6011303235897785E-3</v>
      </c>
      <c r="C830" s="3">
        <v>6.5169982473275212E-2</v>
      </c>
      <c r="D830" s="3">
        <v>-0.38092236579472627</v>
      </c>
    </row>
    <row r="831" spans="1:4" x14ac:dyDescent="0.35">
      <c r="A831" s="5">
        <v>45702</v>
      </c>
      <c r="B831" s="3">
        <v>2.5884735499430711E-3</v>
      </c>
      <c r="C831" s="3">
        <v>6.4715090376356255E-2</v>
      </c>
      <c r="D831" s="3">
        <v>-0.38480932871099904</v>
      </c>
    </row>
    <row r="832" spans="1:4" x14ac:dyDescent="0.35">
      <c r="A832" s="5">
        <v>45705</v>
      </c>
      <c r="B832" s="3">
        <v>-1.2265980390017472E-2</v>
      </c>
      <c r="C832" s="3">
        <v>5.8801493116412251E-2</v>
      </c>
      <c r="D832" s="3">
        <v>-0.38859123857548061</v>
      </c>
    </row>
    <row r="833" spans="1:4" x14ac:dyDescent="0.35">
      <c r="A833" s="5">
        <v>45706</v>
      </c>
      <c r="B833" s="3">
        <v>-9.513185927732648E-3</v>
      </c>
      <c r="C833" s="3">
        <v>6.0192927765810866E-2</v>
      </c>
      <c r="D833" s="3">
        <v>-0.39153272402563288</v>
      </c>
    </row>
    <row r="834" spans="1:4" x14ac:dyDescent="0.35">
      <c r="A834" s="5">
        <v>45707</v>
      </c>
      <c r="B834" s="3">
        <v>-2.2439038378106235E-2</v>
      </c>
      <c r="C834" s="3">
        <v>5.7543850260225238E-2</v>
      </c>
      <c r="D834" s="3">
        <v>-0.40088244563504571</v>
      </c>
    </row>
    <row r="835" spans="1:4" x14ac:dyDescent="0.35">
      <c r="A835" s="5">
        <v>45708</v>
      </c>
      <c r="B835" s="3">
        <v>-1.8051489715011915E-2</v>
      </c>
      <c r="C835" s="3">
        <v>5.5396491979182061E-2</v>
      </c>
      <c r="D835" s="3">
        <v>-0.40056728647967221</v>
      </c>
    </row>
    <row r="836" spans="1:4" x14ac:dyDescent="0.35">
      <c r="A836" s="5">
        <v>45709</v>
      </c>
      <c r="B836" s="3">
        <v>-2.7710623959620762E-2</v>
      </c>
      <c r="C836" s="3">
        <v>6.4333783765703867E-2</v>
      </c>
      <c r="D836" s="3">
        <v>-0.40981195503729384</v>
      </c>
    </row>
    <row r="837" spans="1:4" x14ac:dyDescent="0.35">
      <c r="A837" s="5">
        <v>45712</v>
      </c>
      <c r="B837" s="3">
        <v>-4.6255775774429519E-2</v>
      </c>
      <c r="C837" s="3">
        <v>5.9798241975837163E-2</v>
      </c>
      <c r="D837" s="3">
        <v>-0.42588507196134051</v>
      </c>
    </row>
    <row r="838" spans="1:4" x14ac:dyDescent="0.35">
      <c r="A838" s="5">
        <v>45713</v>
      </c>
      <c r="B838" s="3">
        <v>-7.0104311798309671E-2</v>
      </c>
      <c r="C838" s="3">
        <v>4.8947727546392317E-2</v>
      </c>
      <c r="D838" s="3">
        <v>-0.44384914381762797</v>
      </c>
    </row>
    <row r="839" spans="1:4" x14ac:dyDescent="0.35">
      <c r="A839" s="5">
        <v>45714</v>
      </c>
      <c r="B839" s="3">
        <v>-7.1896491219552772E-2</v>
      </c>
      <c r="C839" s="3">
        <v>6.2781798964451685E-2</v>
      </c>
      <c r="D839" s="3">
        <v>-0.44353398466225447</v>
      </c>
    </row>
    <row r="840" spans="1:4" x14ac:dyDescent="0.35">
      <c r="A840" s="5">
        <v>45715</v>
      </c>
      <c r="B840" s="3">
        <v>-6.6503370283653829E-2</v>
      </c>
      <c r="C840" s="3">
        <v>6.1370295546071318E-2</v>
      </c>
      <c r="D840" s="3">
        <v>-0.43597016493329133</v>
      </c>
    </row>
    <row r="841" spans="1:4" x14ac:dyDescent="0.35">
      <c r="A841" s="5">
        <v>45716</v>
      </c>
      <c r="B841" s="3">
        <v>-9.5113087085929027E-2</v>
      </c>
      <c r="C841" s="3">
        <v>5.3409683849992673E-2</v>
      </c>
      <c r="D841" s="3">
        <v>-0.46906187624750495</v>
      </c>
    </row>
    <row r="842" spans="1:4" x14ac:dyDescent="0.35">
      <c r="A842" s="5">
        <v>45719</v>
      </c>
      <c r="B842" s="3">
        <v>-8.7193433896785244E-2</v>
      </c>
      <c r="C842" s="3">
        <v>5.1195429672344028E-2</v>
      </c>
      <c r="D842" s="3">
        <v>-0.47021745981720764</v>
      </c>
    </row>
    <row r="843" spans="1:4" x14ac:dyDescent="0.35">
      <c r="A843" s="5">
        <v>45720</v>
      </c>
      <c r="B843" s="3">
        <v>-0.1158331646332651</v>
      </c>
      <c r="C843" s="3">
        <v>4.0672705136266973E-2</v>
      </c>
      <c r="D843" s="3">
        <v>-0.49332913121126176</v>
      </c>
    </row>
    <row r="844" spans="1:4" x14ac:dyDescent="0.35">
      <c r="A844" s="5">
        <v>45721</v>
      </c>
      <c r="B844" s="3">
        <v>-0.10361121612838853</v>
      </c>
      <c r="C844" s="3">
        <v>4.6532785678926603E-2</v>
      </c>
      <c r="D844" s="3">
        <v>-0.48954722134678008</v>
      </c>
    </row>
    <row r="845" spans="1:4" x14ac:dyDescent="0.35">
      <c r="A845" s="5">
        <v>45722</v>
      </c>
      <c r="B845" s="3">
        <v>-7.2802837121645925E-2</v>
      </c>
      <c r="C845" s="3">
        <v>4.2846821775952337E-2</v>
      </c>
      <c r="D845" s="3">
        <v>-0.48187834856602585</v>
      </c>
    </row>
    <row r="846" spans="1:4" x14ac:dyDescent="0.35">
      <c r="A846" s="5">
        <v>45723</v>
      </c>
      <c r="B846" s="3">
        <v>-9.7518959575040198E-2</v>
      </c>
      <c r="C846" s="3">
        <v>3.5060139411048574E-2</v>
      </c>
      <c r="D846" s="3">
        <v>-0.49248870679693246</v>
      </c>
    </row>
    <row r="847" spans="1:4" x14ac:dyDescent="0.35">
      <c r="A847" s="5">
        <v>45726</v>
      </c>
      <c r="B847" s="3">
        <v>-0.10914629007866905</v>
      </c>
      <c r="C847" s="3">
        <v>2.7828692987972303E-2</v>
      </c>
      <c r="D847" s="3">
        <v>-0.50677592184052944</v>
      </c>
    </row>
    <row r="848" spans="1:4" x14ac:dyDescent="0.35">
      <c r="A848" s="5">
        <v>45727</v>
      </c>
      <c r="B848" s="3">
        <v>-0.11502387191612284</v>
      </c>
      <c r="C848" s="3">
        <v>1.6917972251582203E-2</v>
      </c>
      <c r="D848" s="3">
        <v>-0.51171341527471381</v>
      </c>
    </row>
    <row r="849" spans="1:4" x14ac:dyDescent="0.35">
      <c r="A849" s="5">
        <v>45728</v>
      </c>
      <c r="B849" s="3">
        <v>-0.12314273281991606</v>
      </c>
      <c r="C849" s="3">
        <v>-6.7096584295519568E-3</v>
      </c>
      <c r="D849" s="3">
        <v>-0.51696606786427146</v>
      </c>
    </row>
    <row r="850" spans="1:4" x14ac:dyDescent="0.35">
      <c r="A850" s="5">
        <v>45729</v>
      </c>
      <c r="B850" s="3">
        <v>-0.10559205647593972</v>
      </c>
      <c r="C850" s="3">
        <v>1.0148107515085103E-2</v>
      </c>
      <c r="D850" s="3">
        <v>-0.49910704905977521</v>
      </c>
    </row>
    <row r="851" spans="1:4" x14ac:dyDescent="0.35">
      <c r="A851" s="5">
        <v>45730</v>
      </c>
      <c r="B851" s="3">
        <v>-7.6933613176949911E-2</v>
      </c>
      <c r="C851" s="3">
        <v>1.1566300523126127E-2</v>
      </c>
      <c r="D851" s="3">
        <v>-0.48891690303603319</v>
      </c>
    </row>
    <row r="852" spans="1:4" x14ac:dyDescent="0.35">
      <c r="A852" s="5">
        <v>45733</v>
      </c>
      <c r="B852" s="3">
        <v>-4.8631557443090223E-2</v>
      </c>
      <c r="C852" s="3">
        <v>2.20421979315788E-2</v>
      </c>
      <c r="D852" s="3">
        <v>-0.47956718142662047</v>
      </c>
    </row>
    <row r="853" spans="1:4" x14ac:dyDescent="0.35">
      <c r="A853" s="5">
        <v>45734</v>
      </c>
      <c r="B853" s="3">
        <v>-4.8635017567827288E-2</v>
      </c>
      <c r="C853" s="3">
        <v>2.20421979315788E-2</v>
      </c>
      <c r="D853" s="3">
        <v>-0.47956718142662047</v>
      </c>
    </row>
    <row r="854" spans="1:4" x14ac:dyDescent="0.35">
      <c r="A854" s="5">
        <v>45735</v>
      </c>
      <c r="B854" s="3">
        <v>-4.754750822542797E-2</v>
      </c>
      <c r="C854" s="3">
        <v>1.5252264426100171E-2</v>
      </c>
      <c r="D854" s="3">
        <v>-0.47736106733900618</v>
      </c>
    </row>
    <row r="855" spans="1:4" x14ac:dyDescent="0.35">
      <c r="A855" s="5">
        <v>45736</v>
      </c>
      <c r="B855" s="3">
        <v>-4.0982922149793488E-2</v>
      </c>
      <c r="C855" s="3">
        <v>6.2213183843304876E-3</v>
      </c>
      <c r="D855" s="3">
        <v>-0.4744195818888538</v>
      </c>
    </row>
    <row r="856" spans="1:4" x14ac:dyDescent="0.35">
      <c r="A856" s="5">
        <v>45737</v>
      </c>
      <c r="B856" s="3">
        <v>-4.6379953049387468E-2</v>
      </c>
      <c r="C856" s="3">
        <v>7.0842754505440197E-3</v>
      </c>
      <c r="D856" s="3">
        <v>-0.4768358020800505</v>
      </c>
    </row>
    <row r="857" spans="1:4" x14ac:dyDescent="0.35">
      <c r="A857" s="5">
        <v>45740</v>
      </c>
      <c r="B857" s="3">
        <v>-4.9792645931903912E-2</v>
      </c>
      <c r="C857" s="3">
        <v>5.9938723358710089E-3</v>
      </c>
      <c r="D857" s="3">
        <v>-0.48229856077319044</v>
      </c>
    </row>
    <row r="858" spans="1:4" x14ac:dyDescent="0.35">
      <c r="A858" s="5">
        <v>45741</v>
      </c>
      <c r="B858" s="3">
        <v>-4.1880194805586024E-2</v>
      </c>
      <c r="C858" s="3">
        <v>1.253629102390863E-2</v>
      </c>
      <c r="D858" s="3">
        <v>-0.47063767202437234</v>
      </c>
    </row>
    <row r="859" spans="1:4" x14ac:dyDescent="0.35">
      <c r="A859" s="5">
        <v>45742</v>
      </c>
      <c r="B859" s="3">
        <v>-4.9565694027408846E-2</v>
      </c>
      <c r="C859" s="3">
        <v>1.5513158422862272E-2</v>
      </c>
      <c r="D859" s="3">
        <v>-0.46906187624750495</v>
      </c>
    </row>
    <row r="860" spans="1:4" x14ac:dyDescent="0.35">
      <c r="A860" s="5">
        <v>45743</v>
      </c>
      <c r="B860" s="3">
        <v>-5.2223346765369105E-2</v>
      </c>
      <c r="C860" s="3">
        <v>2.7340352942750501E-2</v>
      </c>
      <c r="D860" s="3">
        <v>-0.46485975417585879</v>
      </c>
    </row>
    <row r="861" spans="1:4" x14ac:dyDescent="0.35">
      <c r="A861" s="5">
        <v>45744</v>
      </c>
      <c r="B861" s="3">
        <v>-6.6319553122611175E-2</v>
      </c>
      <c r="C861" s="3">
        <v>1.2569738972211475E-2</v>
      </c>
      <c r="D861" s="3">
        <v>-0.47189830864586613</v>
      </c>
    </row>
    <row r="862" spans="1:4" x14ac:dyDescent="0.35">
      <c r="A862" s="5">
        <v>45747</v>
      </c>
      <c r="B862" s="3">
        <v>-6.6329787294368558E-2</v>
      </c>
      <c r="C862" s="3">
        <v>1.2569738972211475E-2</v>
      </c>
      <c r="D862" s="3">
        <v>-0.47189830864586613</v>
      </c>
    </row>
    <row r="863" spans="1:4" x14ac:dyDescent="0.35">
      <c r="A863" s="5">
        <v>45748</v>
      </c>
      <c r="B863" s="3">
        <v>-6.6333198684954353E-2</v>
      </c>
      <c r="C863" s="3">
        <v>1.2569738972211475E-2</v>
      </c>
      <c r="D863" s="3">
        <v>-0.47189830864586613</v>
      </c>
    </row>
    <row r="864" spans="1:4" x14ac:dyDescent="0.35">
      <c r="A864" s="5">
        <v>45749</v>
      </c>
      <c r="B864" s="3">
        <v>-5.8855751760194863E-2</v>
      </c>
      <c r="C864" s="3">
        <v>2.1179240865365268E-2</v>
      </c>
      <c r="D864" s="3">
        <v>-0.48187834856602585</v>
      </c>
    </row>
    <row r="865" spans="1:4" x14ac:dyDescent="0.35">
      <c r="A865" s="5">
        <v>45750</v>
      </c>
      <c r="B865" s="3">
        <v>-6.4130024380360973E-2</v>
      </c>
      <c r="C865" s="3">
        <v>1.6088463133671516E-2</v>
      </c>
      <c r="D865" s="3">
        <v>-0.49028259270931818</v>
      </c>
    </row>
    <row r="866" spans="1:4" x14ac:dyDescent="0.35">
      <c r="A866" s="5">
        <v>45751</v>
      </c>
      <c r="B866" s="3">
        <v>-8.281690948350795E-2</v>
      </c>
      <c r="C866" s="3">
        <v>6.207939205009394E-3</v>
      </c>
      <c r="D866" s="3">
        <v>-0.50971740729068182</v>
      </c>
    </row>
    <row r="867" spans="1:4" x14ac:dyDescent="0.35">
      <c r="A867" s="5">
        <v>45754</v>
      </c>
      <c r="B867" s="3">
        <v>-0.1828243526288621</v>
      </c>
      <c r="C867" s="3">
        <v>-3.4157044806871539E-2</v>
      </c>
      <c r="D867" s="3">
        <v>-0.57621598907448257</v>
      </c>
    </row>
    <row r="868" spans="1:4" x14ac:dyDescent="0.35">
      <c r="A868" s="5">
        <v>45755</v>
      </c>
      <c r="B868" s="3">
        <v>-0.16715861045242808</v>
      </c>
      <c r="C868" s="3">
        <v>-3.4317594958725217E-2</v>
      </c>
      <c r="D868" s="3">
        <v>-0.5734846097279126</v>
      </c>
    </row>
    <row r="869" spans="1:4" x14ac:dyDescent="0.35">
      <c r="A869" s="5">
        <v>45756</v>
      </c>
      <c r="B869" s="3">
        <v>-0.17872661807820067</v>
      </c>
      <c r="C869" s="3">
        <v>-6.3062761730195427E-2</v>
      </c>
      <c r="D869" s="3">
        <v>-0.58903246139300347</v>
      </c>
    </row>
    <row r="870" spans="1:4" x14ac:dyDescent="0.35">
      <c r="A870" s="5">
        <v>45757</v>
      </c>
      <c r="B870" s="3">
        <v>-0.13102149354009496</v>
      </c>
      <c r="C870" s="3">
        <v>-2.1226067992989206E-2</v>
      </c>
      <c r="D870" s="3">
        <v>-0.54165353503519276</v>
      </c>
    </row>
    <row r="871" spans="1:4" x14ac:dyDescent="0.35">
      <c r="A871" s="5">
        <v>45758</v>
      </c>
      <c r="B871" s="3">
        <v>-0.11789046780886403</v>
      </c>
      <c r="C871" s="3">
        <v>-2.6825254538886512E-2</v>
      </c>
      <c r="D871" s="3">
        <v>-0.54196869419056615</v>
      </c>
    </row>
    <row r="872" spans="1:4" x14ac:dyDescent="0.35">
      <c r="A872" s="5">
        <v>45761</v>
      </c>
      <c r="B872" s="3">
        <v>-9.8806093213376855E-2</v>
      </c>
      <c r="C872" s="3">
        <v>-9.3654255247983542E-3</v>
      </c>
      <c r="D872" s="3">
        <v>-0.52263893266099382</v>
      </c>
    </row>
    <row r="873" spans="1:4" x14ac:dyDescent="0.35">
      <c r="A873" s="5">
        <v>45762</v>
      </c>
      <c r="B873" s="3">
        <v>-9.3629022173773002E-2</v>
      </c>
      <c r="C873" s="3">
        <v>-5.6393240838605863E-3</v>
      </c>
      <c r="D873" s="3">
        <v>-0.52957243407920995</v>
      </c>
    </row>
    <row r="874" spans="1:4" x14ac:dyDescent="0.35">
      <c r="A874" s="5">
        <v>45763</v>
      </c>
      <c r="B874" s="3">
        <v>-0.10364994370741853</v>
      </c>
      <c r="C874" s="3">
        <v>-1.2001123851062889E-2</v>
      </c>
      <c r="D874" s="3">
        <v>-0.53913226179220508</v>
      </c>
    </row>
    <row r="875" spans="1:4" x14ac:dyDescent="0.35">
      <c r="A875" s="5">
        <v>45764</v>
      </c>
      <c r="B875" s="3">
        <v>-0.10236334272393999</v>
      </c>
      <c r="C875" s="3">
        <v>-7.7532344166008071E-3</v>
      </c>
      <c r="D875" s="3">
        <v>-0.53387960920264743</v>
      </c>
    </row>
    <row r="876" spans="1:4" x14ac:dyDescent="0.35">
      <c r="A876" s="5">
        <v>45765</v>
      </c>
      <c r="B876" s="3">
        <v>-9.5553755398391615E-2</v>
      </c>
      <c r="C876" s="3">
        <v>3.0370737058991182E-3</v>
      </c>
      <c r="D876" s="3">
        <v>-0.52747137304338687</v>
      </c>
    </row>
    <row r="877" spans="1:4" x14ac:dyDescent="0.35">
      <c r="A877" s="5">
        <v>45768</v>
      </c>
      <c r="B877" s="3">
        <v>-9.4435229828064737E-2</v>
      </c>
      <c r="C877" s="3">
        <v>3.0839008335230567E-3</v>
      </c>
      <c r="D877" s="3">
        <v>-0.53188360121861544</v>
      </c>
    </row>
    <row r="878" spans="1:4" x14ac:dyDescent="0.35">
      <c r="A878" s="5">
        <v>45769</v>
      </c>
      <c r="B878" s="3">
        <v>-0.10446431046391635</v>
      </c>
      <c r="C878" s="3">
        <v>-5.7597366977508724E-3</v>
      </c>
      <c r="D878" s="3">
        <v>-0.53755646601533769</v>
      </c>
    </row>
    <row r="879" spans="1:4" x14ac:dyDescent="0.35">
      <c r="A879" s="5">
        <v>45770</v>
      </c>
      <c r="B879" s="3">
        <v>-9.4548055388306906E-2</v>
      </c>
      <c r="C879" s="3">
        <v>4.2345102551410996E-3</v>
      </c>
      <c r="D879" s="3">
        <v>-0.52095808383233533</v>
      </c>
    </row>
    <row r="880" spans="1:4" x14ac:dyDescent="0.35">
      <c r="A880" s="5">
        <v>45771</v>
      </c>
      <c r="B880" s="3">
        <v>-9.103382993497211E-2</v>
      </c>
      <c r="C880" s="3">
        <v>7.8000615442248566E-3</v>
      </c>
      <c r="D880" s="3">
        <v>-0.52022271246979723</v>
      </c>
    </row>
    <row r="881" spans="1:4" x14ac:dyDescent="0.35">
      <c r="A881" s="5">
        <v>45772</v>
      </c>
      <c r="B881" s="3">
        <v>-6.3408345808316446E-2</v>
      </c>
      <c r="C881" s="3">
        <v>9.5928715732578329E-3</v>
      </c>
      <c r="D881" s="3">
        <v>-0.49858178380081941</v>
      </c>
    </row>
    <row r="882" spans="1:4" x14ac:dyDescent="0.35">
      <c r="A882" s="5">
        <v>45775</v>
      </c>
      <c r="B882" s="3">
        <v>-6.0456670743066265E-2</v>
      </c>
      <c r="C882" s="3">
        <v>1.788127316270427E-2</v>
      </c>
      <c r="D882" s="3">
        <v>-0.49511503309171123</v>
      </c>
    </row>
    <row r="883" spans="1:4" x14ac:dyDescent="0.35">
      <c r="A883" s="5">
        <v>45776</v>
      </c>
      <c r="B883" s="3">
        <v>-6.1072619065120848E-2</v>
      </c>
      <c r="C883" s="3">
        <v>1.3847450597380462E-2</v>
      </c>
      <c r="D883" s="3">
        <v>-0.49627061666141392</v>
      </c>
    </row>
    <row r="884" spans="1:4" x14ac:dyDescent="0.35">
      <c r="A884" s="5">
        <v>45777</v>
      </c>
      <c r="B884" s="3">
        <v>-5.6091665772074362E-2</v>
      </c>
      <c r="C884" s="3">
        <v>3.0343978700346552E-2</v>
      </c>
      <c r="D884" s="3">
        <v>-0.49690093497216092</v>
      </c>
    </row>
    <row r="885" spans="1:4" x14ac:dyDescent="0.35">
      <c r="A885" s="5">
        <v>45778</v>
      </c>
      <c r="B885" s="3">
        <v>-5.6095035624748713E-2</v>
      </c>
      <c r="C885" s="3">
        <v>3.0343978700346552E-2</v>
      </c>
      <c r="D885" s="3">
        <v>-0.49690093497216092</v>
      </c>
    </row>
    <row r="886" spans="1:4" x14ac:dyDescent="0.35">
      <c r="A886" s="5">
        <v>45779</v>
      </c>
      <c r="B886" s="3">
        <v>-4.6695444858153579E-2</v>
      </c>
      <c r="C886" s="3">
        <v>3.1862515553296111E-2</v>
      </c>
      <c r="D886" s="3">
        <v>-0.48051265889274075</v>
      </c>
    </row>
    <row r="887" spans="1:4" x14ac:dyDescent="0.35">
      <c r="A887" s="5">
        <v>45782</v>
      </c>
      <c r="B887" s="3">
        <v>-5.3249416199040223E-2</v>
      </c>
      <c r="C887" s="3">
        <v>2.9889086603427817E-2</v>
      </c>
      <c r="D887" s="3">
        <v>-0.48944216829498899</v>
      </c>
    </row>
    <row r="888" spans="1:4" x14ac:dyDescent="0.35">
      <c r="A888" s="5">
        <v>45783</v>
      </c>
      <c r="B888" s="3">
        <v>-5.4747889706049158E-2</v>
      </c>
      <c r="C888" s="3">
        <v>2.805613903643156E-2</v>
      </c>
      <c r="D888" s="3">
        <v>-0.49332913121126176</v>
      </c>
    </row>
    <row r="889" spans="1:4" x14ac:dyDescent="0.35">
      <c r="A889" s="5">
        <v>45784</v>
      </c>
      <c r="B889" s="3">
        <v>-4.7560118054724931E-2</v>
      </c>
      <c r="C889" s="3">
        <v>3.6819501491778706E-2</v>
      </c>
      <c r="D889" s="3">
        <v>-0.4877613194663305</v>
      </c>
    </row>
    <row r="890" spans="1:4" x14ac:dyDescent="0.35">
      <c r="A890" s="5">
        <v>45785</v>
      </c>
      <c r="B890" s="3">
        <v>-4.0325364349829695E-2</v>
      </c>
      <c r="C890" s="3">
        <v>3.2029755294810336E-2</v>
      </c>
      <c r="D890" s="3">
        <v>-0.476520642924677</v>
      </c>
    </row>
    <row r="891" spans="1:4" x14ac:dyDescent="0.35">
      <c r="A891" s="5">
        <v>45786</v>
      </c>
      <c r="B891" s="3">
        <v>-4.077861132382965E-2</v>
      </c>
      <c r="C891" s="3">
        <v>3.4545041007184585E-2</v>
      </c>
      <c r="D891" s="3">
        <v>-0.47694085513184159</v>
      </c>
    </row>
    <row r="892" spans="1:4" x14ac:dyDescent="0.35">
      <c r="A892" s="5">
        <v>45789</v>
      </c>
      <c r="B892" s="3">
        <v>-4.0788855079525566E-2</v>
      </c>
      <c r="C892" s="3">
        <v>3.4545041007184585E-2</v>
      </c>
      <c r="D892" s="3">
        <v>-0.47694085513184159</v>
      </c>
    </row>
    <row r="893" spans="1:4" x14ac:dyDescent="0.35">
      <c r="A893" s="5">
        <v>45790</v>
      </c>
      <c r="B893" s="3">
        <v>-1.4187904965175635E-2</v>
      </c>
      <c r="C893" s="3">
        <v>5.8553978298971243E-2</v>
      </c>
      <c r="D893" s="3">
        <v>-0.44552999264628634</v>
      </c>
    </row>
    <row r="894" spans="1:4" x14ac:dyDescent="0.35">
      <c r="A894" s="5">
        <v>45791</v>
      </c>
      <c r="B894" s="3">
        <v>-4.8263590837671622E-3</v>
      </c>
      <c r="C894" s="3">
        <v>5.9303212340955147E-2</v>
      </c>
      <c r="D894" s="3">
        <v>-0.43250341422418315</v>
      </c>
    </row>
    <row r="895" spans="1:4" x14ac:dyDescent="0.35">
      <c r="A895" s="5">
        <v>45792</v>
      </c>
      <c r="B895" s="3">
        <v>-5.7409543931874474E-3</v>
      </c>
      <c r="C895" s="3">
        <v>5.2285832787016817E-2</v>
      </c>
      <c r="D895" s="3">
        <v>-0.43754596071015861</v>
      </c>
    </row>
    <row r="896" spans="1:4" x14ac:dyDescent="0.35">
      <c r="A896" s="5">
        <v>45793</v>
      </c>
      <c r="B896" s="3">
        <v>-1.014871742670953E-2</v>
      </c>
      <c r="C896" s="3">
        <v>5.1436254900124601E-2</v>
      </c>
      <c r="D896" s="3">
        <v>-0.44910179640718562</v>
      </c>
    </row>
    <row r="897" spans="1:4" x14ac:dyDescent="0.35">
      <c r="A897" s="5">
        <v>45796</v>
      </c>
      <c r="B897" s="3">
        <v>-3.5356467017853332E-2</v>
      </c>
      <c r="C897" s="3">
        <v>4.0993805439974551E-2</v>
      </c>
      <c r="D897" s="3">
        <v>-0.47242357390482193</v>
      </c>
    </row>
    <row r="898" spans="1:4" x14ac:dyDescent="0.35">
      <c r="A898" s="5">
        <v>45797</v>
      </c>
      <c r="B898" s="3">
        <v>-3.3165196816865472E-2</v>
      </c>
      <c r="C898" s="3">
        <v>3.6130473756739834E-2</v>
      </c>
      <c r="D898" s="3">
        <v>-0.47210841474944842</v>
      </c>
    </row>
    <row r="899" spans="1:4" x14ac:dyDescent="0.35">
      <c r="A899" s="5">
        <v>45798</v>
      </c>
      <c r="B899" s="3">
        <v>-3.4580857938972476E-2</v>
      </c>
      <c r="C899" s="3">
        <v>3.3407810764887635E-2</v>
      </c>
      <c r="D899" s="3">
        <v>-0.4875512133627482</v>
      </c>
    </row>
    <row r="900" spans="1:4" x14ac:dyDescent="0.35">
      <c r="A900" s="5">
        <v>45799</v>
      </c>
      <c r="B900" s="3">
        <v>-3.5405088266176832E-2</v>
      </c>
      <c r="C900" s="3">
        <v>2.1513720348393939E-2</v>
      </c>
      <c r="D900" s="3">
        <v>-0.487446160310957</v>
      </c>
    </row>
    <row r="901" spans="1:4" x14ac:dyDescent="0.35">
      <c r="A901" s="5">
        <v>45800</v>
      </c>
      <c r="B901" s="3">
        <v>-4.1971332282464191E-2</v>
      </c>
      <c r="C901" s="3">
        <v>2.7106217304630587E-2</v>
      </c>
      <c r="D901" s="3">
        <v>-0.48587036453408972</v>
      </c>
    </row>
    <row r="902" spans="1:4" x14ac:dyDescent="0.35">
      <c r="A902" s="5">
        <v>45803</v>
      </c>
      <c r="B902" s="3">
        <v>-4.8082718275724634E-2</v>
      </c>
      <c r="C902" s="3">
        <v>2.6383741621289092E-2</v>
      </c>
      <c r="D902" s="3">
        <v>-0.49238365374514126</v>
      </c>
    </row>
    <row r="903" spans="1:4" x14ac:dyDescent="0.35">
      <c r="A903" s="5">
        <v>45804</v>
      </c>
      <c r="B903" s="3">
        <v>-5.6738468286284816E-2</v>
      </c>
      <c r="C903" s="3">
        <v>2.0938415637584917E-2</v>
      </c>
      <c r="D903" s="3">
        <v>-0.49217354764155896</v>
      </c>
    </row>
    <row r="904" spans="1:4" x14ac:dyDescent="0.35">
      <c r="A904" s="5">
        <v>45805</v>
      </c>
      <c r="B904" s="3">
        <v>-5.4983326923432108E-2</v>
      </c>
      <c r="C904" s="3">
        <v>1.9145605608551941E-2</v>
      </c>
      <c r="D904" s="3">
        <v>-0.4879714255699128</v>
      </c>
    </row>
    <row r="905" spans="1:4" x14ac:dyDescent="0.35">
      <c r="A905" s="5">
        <v>45806</v>
      </c>
      <c r="B905" s="3">
        <v>-4.9112382268435506E-2</v>
      </c>
      <c r="C905" s="3">
        <v>1.6135290261295454E-2</v>
      </c>
      <c r="D905" s="3">
        <v>-0.4744195818888538</v>
      </c>
    </row>
    <row r="906" spans="1:4" x14ac:dyDescent="0.35">
      <c r="A906" s="5">
        <v>45807</v>
      </c>
      <c r="B906" s="3">
        <v>-4.8800073641861341E-2</v>
      </c>
      <c r="C906" s="3">
        <v>9.0242564521092472E-3</v>
      </c>
      <c r="D906" s="3">
        <v>-0.48082781804811425</v>
      </c>
    </row>
    <row r="907" spans="1:4" x14ac:dyDescent="0.35">
      <c r="A907" s="5">
        <v>45810</v>
      </c>
      <c r="B907" s="3">
        <v>-4.8810272664999599E-2</v>
      </c>
      <c r="C907" s="3">
        <v>9.0242564521092472E-3</v>
      </c>
      <c r="D907" s="3">
        <v>-0.48082781804811425</v>
      </c>
    </row>
    <row r="908" spans="1:4" x14ac:dyDescent="0.35">
      <c r="A908" s="5">
        <v>45811</v>
      </c>
      <c r="B908" s="3">
        <v>-5.6870852083766632E-2</v>
      </c>
      <c r="C908" s="3">
        <v>5.6125657252183991E-3</v>
      </c>
      <c r="D908" s="3">
        <v>-0.4882865847252863</v>
      </c>
    </row>
    <row r="909" spans="1:4" x14ac:dyDescent="0.35">
      <c r="A909" s="5">
        <v>45812</v>
      </c>
      <c r="B909" s="3">
        <v>-4.5121553586056518E-2</v>
      </c>
      <c r="C909" s="3">
        <v>8.7700520450075814E-3</v>
      </c>
      <c r="D909" s="3">
        <v>-0.48576531148229851</v>
      </c>
    </row>
    <row r="910" spans="1:4" x14ac:dyDescent="0.35">
      <c r="A910" s="5">
        <v>45813</v>
      </c>
      <c r="B910" s="3">
        <v>-1.796239488232676E-2</v>
      </c>
      <c r="C910" s="3">
        <v>1.5559985550486433E-2</v>
      </c>
      <c r="D910" s="3">
        <v>-0.47431452883706271</v>
      </c>
    </row>
    <row r="911" spans="1:4" x14ac:dyDescent="0.35">
      <c r="A911" s="5">
        <v>45814</v>
      </c>
      <c r="B911" s="3">
        <v>-1.8515152338377194E-2</v>
      </c>
      <c r="C911" s="3">
        <v>1.4670270125630491E-2</v>
      </c>
      <c r="D911" s="3">
        <v>-0.47673074902825918</v>
      </c>
    </row>
    <row r="912" spans="1:4" x14ac:dyDescent="0.35">
      <c r="A912" s="5">
        <v>45817</v>
      </c>
      <c r="B912" s="3">
        <v>-1.3236169722137925E-2</v>
      </c>
      <c r="C912" s="3">
        <v>1.6422942616699965E-2</v>
      </c>
      <c r="D912" s="3">
        <v>-0.46822145183317576</v>
      </c>
    </row>
    <row r="913" spans="1:4" x14ac:dyDescent="0.35">
      <c r="A913" s="5">
        <v>45818</v>
      </c>
      <c r="B913" s="3">
        <v>-1.1117661693222258E-2</v>
      </c>
      <c r="C913" s="3">
        <v>1.4777303560199684E-2</v>
      </c>
      <c r="D913" s="3">
        <v>-0.46717092131526416</v>
      </c>
    </row>
    <row r="914" spans="1:4" x14ac:dyDescent="0.35">
      <c r="A914" s="5">
        <v>45819</v>
      </c>
      <c r="B914" s="3">
        <v>6.4738513630053784E-3</v>
      </c>
      <c r="C914" s="3">
        <v>1.9386430836332513E-2</v>
      </c>
      <c r="D914" s="3">
        <v>-0.4634940645025738</v>
      </c>
    </row>
    <row r="915" spans="1:4" x14ac:dyDescent="0.35">
      <c r="A915" s="5">
        <v>45820</v>
      </c>
      <c r="B915" s="3">
        <v>6.6373850348486751E-3</v>
      </c>
      <c r="C915" s="3">
        <v>2.1246136761970957E-2</v>
      </c>
      <c r="D915" s="3">
        <v>-0.4621283748292887</v>
      </c>
    </row>
    <row r="916" spans="1:4" x14ac:dyDescent="0.35">
      <c r="A916" s="5">
        <v>45821</v>
      </c>
      <c r="B916" s="3">
        <v>-3.3018948394822889E-3</v>
      </c>
      <c r="C916" s="3">
        <v>1.5553295960825775E-2</v>
      </c>
      <c r="D916" s="3">
        <v>-0.47462968799243621</v>
      </c>
    </row>
    <row r="917" spans="1:4" x14ac:dyDescent="0.35">
      <c r="A917" s="5">
        <v>45824</v>
      </c>
      <c r="B917" s="3">
        <v>-1.0081988468882086E-2</v>
      </c>
      <c r="C917" s="3">
        <v>1.681093881701301E-2</v>
      </c>
      <c r="D917" s="3">
        <v>-0.48093287109990546</v>
      </c>
    </row>
    <row r="918" spans="1:4" x14ac:dyDescent="0.35">
      <c r="A918" s="5">
        <v>45825</v>
      </c>
      <c r="B918" s="3">
        <v>-6.9974383621487224E-3</v>
      </c>
      <c r="C918" s="3">
        <v>1.122513145043702E-2</v>
      </c>
      <c r="D918" s="3">
        <v>-0.48124803025527885</v>
      </c>
    </row>
    <row r="919" spans="1:4" x14ac:dyDescent="0.35">
      <c r="A919" s="5">
        <v>45826</v>
      </c>
      <c r="B919" s="3">
        <v>-6.6929371026976936E-3</v>
      </c>
      <c r="C919" s="3">
        <v>1.1432508729914526E-2</v>
      </c>
      <c r="D919" s="3">
        <v>-0.48103792415169666</v>
      </c>
    </row>
    <row r="920" spans="1:4" x14ac:dyDescent="0.35">
      <c r="A920" s="5">
        <v>45827</v>
      </c>
      <c r="B920" s="3">
        <v>-1.0731498868468581E-2</v>
      </c>
      <c r="C920" s="3">
        <v>4.4017499966553242E-3</v>
      </c>
      <c r="D920" s="3">
        <v>-0.48513499317155162</v>
      </c>
    </row>
    <row r="921" spans="1:4" x14ac:dyDescent="0.35">
      <c r="A921" s="5">
        <v>45828</v>
      </c>
      <c r="B921" s="3">
        <v>-1.3457322566449159E-2</v>
      </c>
      <c r="C921" s="3">
        <v>5.2713966525295142E-3</v>
      </c>
      <c r="D921" s="3">
        <v>-0.48713100115558361</v>
      </c>
    </row>
    <row r="922" spans="1:4" x14ac:dyDescent="0.35">
      <c r="A922" s="5">
        <v>45831</v>
      </c>
      <c r="B922" s="3">
        <v>-1.6113816421504445E-2</v>
      </c>
      <c r="C922" s="3">
        <v>1.4549857511740205E-2</v>
      </c>
      <c r="D922" s="3">
        <v>-0.48933711524319778</v>
      </c>
    </row>
    <row r="923" spans="1:4" x14ac:dyDescent="0.35">
      <c r="A923" s="5">
        <v>45832</v>
      </c>
      <c r="B923" s="3">
        <v>-2.1592802053517213E-3</v>
      </c>
      <c r="C923" s="3">
        <v>1.2997872710488023E-2</v>
      </c>
      <c r="D923" s="3">
        <v>-0.48145813635886126</v>
      </c>
    </row>
    <row r="924" spans="1:4" x14ac:dyDescent="0.35">
      <c r="A924" s="5">
        <v>45833</v>
      </c>
      <c r="B924" s="3">
        <v>1.2768818943710514E-2</v>
      </c>
      <c r="C924" s="3">
        <v>1.6677147023801631E-2</v>
      </c>
      <c r="D924" s="3">
        <v>-0.47210841474944842</v>
      </c>
    </row>
    <row r="925" spans="1:4" x14ac:dyDescent="0.35">
      <c r="A925" s="5">
        <v>45834</v>
      </c>
      <c r="B925" s="3">
        <v>2.9027324134114574E-2</v>
      </c>
      <c r="C925" s="3">
        <v>2.2276333569698936E-2</v>
      </c>
      <c r="D925" s="3">
        <v>-0.46391427670973839</v>
      </c>
    </row>
    <row r="926" spans="1:4" x14ac:dyDescent="0.35">
      <c r="A926" s="5">
        <v>45835</v>
      </c>
      <c r="B926" s="3">
        <v>2.9023715707799491E-2</v>
      </c>
      <c r="C926" s="3">
        <v>2.2276333569698936E-2</v>
      </c>
      <c r="D926" s="3">
        <v>-0.46391427670973839</v>
      </c>
    </row>
    <row r="927" spans="1:4" x14ac:dyDescent="0.35">
      <c r="A927" s="5">
        <v>45838</v>
      </c>
      <c r="B927" s="3">
        <v>3.9682563936482618E-2</v>
      </c>
      <c r="C927" s="3">
        <v>2.5487336606772715E-2</v>
      </c>
      <c r="D927" s="3">
        <v>-0.4631789053472003</v>
      </c>
    </row>
    <row r="928" spans="1:4" x14ac:dyDescent="0.35">
      <c r="A928" s="5">
        <v>45839</v>
      </c>
      <c r="B928" s="3">
        <v>5.704980839156315E-2</v>
      </c>
      <c r="C928" s="3">
        <v>3.1220314945881178E-2</v>
      </c>
      <c r="D928" s="3">
        <v>-0.45656056308435766</v>
      </c>
    </row>
    <row r="929" spans="1:4" x14ac:dyDescent="0.35">
      <c r="A929" s="5">
        <v>45840</v>
      </c>
      <c r="B929" s="3">
        <v>5.8481279878301873E-2</v>
      </c>
      <c r="C929" s="3">
        <v>3.7026878771256211E-2</v>
      </c>
      <c r="D929" s="3">
        <v>-0.45340897153062298</v>
      </c>
    </row>
    <row r="930" spans="1:4" x14ac:dyDescent="0.35">
      <c r="A930" s="5">
        <v>45841</v>
      </c>
      <c r="B930" s="3">
        <v>6.2976562339745579E-2</v>
      </c>
      <c r="C930" s="3">
        <v>3.6210748832666617E-2</v>
      </c>
      <c r="D930" s="3">
        <v>-0.45162306965017329</v>
      </c>
    </row>
    <row r="931" spans="1:4" x14ac:dyDescent="0.35">
      <c r="A931" s="5">
        <v>45842</v>
      </c>
      <c r="B931" s="3">
        <v>6.9771370472598182E-2</v>
      </c>
      <c r="C931" s="3">
        <v>3.7013499591935117E-2</v>
      </c>
      <c r="D931" s="3">
        <v>-0.43765101376194981</v>
      </c>
    </row>
    <row r="932" spans="1:4" x14ac:dyDescent="0.35">
      <c r="A932" s="5">
        <v>45845</v>
      </c>
      <c r="B932" s="3">
        <v>3.6146950043135284E-2</v>
      </c>
      <c r="C932" s="3">
        <v>2.8551168671313798E-2</v>
      </c>
      <c r="D932" s="3">
        <v>-0.44973211471793251</v>
      </c>
    </row>
    <row r="933" spans="1:4" x14ac:dyDescent="0.35">
      <c r="A933" s="5">
        <v>45846</v>
      </c>
      <c r="B933" s="3">
        <v>5.7895123663287418E-2</v>
      </c>
      <c r="C933" s="3">
        <v>2.3600872322491862E-2</v>
      </c>
      <c r="D933" s="3">
        <v>-0.45876667717197184</v>
      </c>
    </row>
    <row r="934" spans="1:4" x14ac:dyDescent="0.35">
      <c r="A934" s="5">
        <v>45847</v>
      </c>
      <c r="B934" s="3">
        <v>4.8920562722451821E-2</v>
      </c>
      <c r="C934" s="3">
        <v>2.2998809253040431E-2</v>
      </c>
      <c r="D934" s="3">
        <v>-0.45603529782540175</v>
      </c>
    </row>
    <row r="935" spans="1:4" x14ac:dyDescent="0.35">
      <c r="A935" s="5">
        <v>45848</v>
      </c>
      <c r="B935" s="3">
        <v>6.6950495693165024E-2</v>
      </c>
      <c r="C935" s="3">
        <v>2.7868830525935584E-2</v>
      </c>
      <c r="D935" s="3">
        <v>-0.45761109360226915</v>
      </c>
    </row>
    <row r="936" spans="1:4" x14ac:dyDescent="0.35">
      <c r="A936" s="5">
        <v>45849</v>
      </c>
      <c r="B936" s="3">
        <v>6.3231990572916619E-2</v>
      </c>
      <c r="C936" s="3">
        <v>2.756779899120998E-2</v>
      </c>
      <c r="D936" s="3">
        <v>-0.44752600063031822</v>
      </c>
    </row>
    <row r="937" spans="1:4" x14ac:dyDescent="0.35">
      <c r="A937" s="5">
        <v>45852</v>
      </c>
      <c r="B937" s="3">
        <v>6.4462580945824355E-2</v>
      </c>
      <c r="C937" s="3">
        <v>2.8531099902332047E-2</v>
      </c>
      <c r="D937" s="3">
        <v>-0.44815631894106522</v>
      </c>
    </row>
    <row r="938" spans="1:4" x14ac:dyDescent="0.35">
      <c r="A938" s="5">
        <v>45853</v>
      </c>
      <c r="B938" s="3">
        <v>5.7325992764080791E-2</v>
      </c>
      <c r="C938" s="3">
        <v>2.0430006823381586E-2</v>
      </c>
      <c r="D938" s="3">
        <v>-0.4509927513394264</v>
      </c>
    </row>
    <row r="939" spans="1:4" x14ac:dyDescent="0.35">
      <c r="A939" s="5">
        <v>45854</v>
      </c>
      <c r="B939" s="3">
        <v>5.5791457285646384E-2</v>
      </c>
      <c r="C939" s="3">
        <v>1.1131477195188921E-2</v>
      </c>
      <c r="D939" s="3">
        <v>-0.45424939594495217</v>
      </c>
    </row>
    <row r="940" spans="1:4" x14ac:dyDescent="0.35">
      <c r="A940" s="5">
        <v>45855</v>
      </c>
      <c r="B940" s="3">
        <v>4.9650925907788412E-2</v>
      </c>
      <c r="C940" s="3">
        <v>1.7446449834767286E-2</v>
      </c>
      <c r="D940" s="3">
        <v>-0.45498476730749027</v>
      </c>
    </row>
    <row r="941" spans="1:4" x14ac:dyDescent="0.35">
      <c r="A941" s="5">
        <v>45856</v>
      </c>
      <c r="B941" s="3">
        <v>5.3846139002838411E-2</v>
      </c>
      <c r="C941" s="3">
        <v>2.0737727947767626E-2</v>
      </c>
      <c r="D941" s="3">
        <v>-0.451412963546591</v>
      </c>
    </row>
    <row r="942" spans="1:4" x14ac:dyDescent="0.35">
      <c r="A942" s="5">
        <v>45859</v>
      </c>
      <c r="B942" s="3">
        <v>5.4425559821740466E-2</v>
      </c>
      <c r="C942" s="3">
        <v>1.9888150060875187E-2</v>
      </c>
      <c r="D942" s="3">
        <v>-0.45393423678957878</v>
      </c>
    </row>
    <row r="943" spans="1:4" x14ac:dyDescent="0.35">
      <c r="A943" s="5">
        <v>45860</v>
      </c>
      <c r="B943" s="3">
        <v>4.5235852292017098E-2</v>
      </c>
      <c r="C943" s="3">
        <v>1.6416253027039529E-2</v>
      </c>
      <c r="D943" s="3">
        <v>-0.45834646496480724</v>
      </c>
    </row>
    <row r="944" spans="1:4" x14ac:dyDescent="0.35">
      <c r="A944" s="5">
        <v>45861</v>
      </c>
      <c r="B944" s="3">
        <v>5.5331304648508883E-2</v>
      </c>
      <c r="C944" s="3">
        <v>2.3366736684371725E-2</v>
      </c>
      <c r="D944" s="3">
        <v>-0.4501523269250971</v>
      </c>
    </row>
    <row r="945" spans="1:4" x14ac:dyDescent="0.35">
      <c r="A945" s="5">
        <v>45862</v>
      </c>
      <c r="B945" s="3">
        <v>5.1176425409582782E-2</v>
      </c>
      <c r="C945" s="3">
        <v>3.0410874596952242E-2</v>
      </c>
      <c r="D945" s="3">
        <v>-0.45036243302867951</v>
      </c>
    </row>
    <row r="946" spans="1:4" x14ac:dyDescent="0.35">
      <c r="A946" s="5">
        <v>45863</v>
      </c>
      <c r="B946" s="3">
        <v>4.0603214426815804E-2</v>
      </c>
      <c r="C946" s="3">
        <v>2.6022503779618233E-2</v>
      </c>
      <c r="D946" s="3">
        <v>-0.4507826452358441</v>
      </c>
    </row>
    <row r="947" spans="1:4" x14ac:dyDescent="0.35">
      <c r="A947" s="5">
        <v>45866</v>
      </c>
      <c r="B947" s="3">
        <v>2.7785845582321E-2</v>
      </c>
      <c r="C947" s="3">
        <v>2.309246350828853E-2</v>
      </c>
      <c r="D947" s="3">
        <v>-0.45561508561823716</v>
      </c>
    </row>
    <row r="948" spans="1:4" x14ac:dyDescent="0.35">
      <c r="A948" s="5">
        <v>45867</v>
      </c>
      <c r="B948" s="3">
        <v>3.1287763677611213E-2</v>
      </c>
      <c r="C948" s="3">
        <v>1.937305165701142E-2</v>
      </c>
      <c r="D948" s="3">
        <v>-0.45771614665406035</v>
      </c>
    </row>
    <row r="949" spans="1:4" x14ac:dyDescent="0.35">
      <c r="A949" s="5">
        <v>45868</v>
      </c>
      <c r="B949" s="3">
        <v>3.3383588378257389E-2</v>
      </c>
      <c r="C949" s="3">
        <v>1.9827943753930155E-2</v>
      </c>
      <c r="D949" s="3">
        <v>-0.45950204853450993</v>
      </c>
    </row>
    <row r="950" spans="1:4" x14ac:dyDescent="0.35">
      <c r="A950" s="5">
        <v>45869</v>
      </c>
      <c r="B950" s="3">
        <v>4.6900365672053912E-2</v>
      </c>
      <c r="C950" s="3">
        <v>1.2302155385788716E-2</v>
      </c>
      <c r="D950" s="3">
        <v>-0.44773610673390063</v>
      </c>
    </row>
    <row r="951" spans="1:4" x14ac:dyDescent="0.35">
      <c r="A951" s="5">
        <v>45870</v>
      </c>
      <c r="B951" s="3">
        <v>4.4084868673502253E-2</v>
      </c>
      <c r="C951" s="3">
        <v>2.5748230603534816E-2</v>
      </c>
      <c r="D951" s="3">
        <v>-0.44195818888538718</v>
      </c>
    </row>
    <row r="952" spans="1:4" x14ac:dyDescent="0.35">
      <c r="A952" s="5">
        <v>45873</v>
      </c>
      <c r="B952" s="3">
        <v>3.75518575627658E-2</v>
      </c>
      <c r="C952" s="3">
        <v>2.148696198975153E-2</v>
      </c>
      <c r="D952" s="3">
        <v>-0.44889169030360332</v>
      </c>
    </row>
    <row r="953" spans="1:4" x14ac:dyDescent="0.35">
      <c r="A953" s="5">
        <v>45874</v>
      </c>
      <c r="B953" s="3">
        <v>4.058986921379093E-2</v>
      </c>
      <c r="C953" s="3">
        <v>2.9287023533976608E-2</v>
      </c>
      <c r="D953" s="3">
        <v>-0.44468956823195716</v>
      </c>
    </row>
    <row r="954" spans="1:4" x14ac:dyDescent="0.35">
      <c r="A954" s="5">
        <v>45875</v>
      </c>
      <c r="B954" s="3">
        <v>3.2273117546097518E-2</v>
      </c>
      <c r="C954" s="3">
        <v>3.1186866997578555E-2</v>
      </c>
      <c r="D954" s="3">
        <v>-0.45193822880554679</v>
      </c>
    </row>
    <row r="955" spans="1:4" x14ac:dyDescent="0.35">
      <c r="A955" s="5">
        <v>45876</v>
      </c>
      <c r="B955" s="3">
        <v>2.0091786027603975E-2</v>
      </c>
      <c r="C955" s="3">
        <v>3.6291023908593401E-2</v>
      </c>
      <c r="D955" s="3">
        <v>-0.4508876982876352</v>
      </c>
    </row>
    <row r="956" spans="1:4" x14ac:dyDescent="0.35">
      <c r="A956" s="5">
        <v>45877</v>
      </c>
      <c r="B956" s="3">
        <v>3.0786729210518393E-2</v>
      </c>
      <c r="C956" s="3">
        <v>4.1555730971462257E-2</v>
      </c>
      <c r="D956" s="3">
        <v>-0.45319886542704069</v>
      </c>
    </row>
    <row r="957" spans="1:4" x14ac:dyDescent="0.35">
      <c r="A957" s="5">
        <v>45880</v>
      </c>
      <c r="B957" s="3">
        <v>2.8551532771168731E-2</v>
      </c>
      <c r="C957" s="3">
        <v>4.5743414098979196E-2</v>
      </c>
      <c r="D957" s="3">
        <v>-0.44973211471793251</v>
      </c>
    </row>
    <row r="958" spans="1:4" x14ac:dyDescent="0.35">
      <c r="A958" s="5">
        <v>45881</v>
      </c>
      <c r="B958" s="3">
        <v>3.2712510548784213E-2</v>
      </c>
      <c r="C958" s="3">
        <v>4.8860762880805098E-2</v>
      </c>
      <c r="D958" s="3">
        <v>-0.44321882550688096</v>
      </c>
    </row>
    <row r="959" spans="1:4" x14ac:dyDescent="0.35">
      <c r="A959" s="5">
        <v>45882</v>
      </c>
      <c r="B959" s="3">
        <v>3.6526885559077238E-2</v>
      </c>
      <c r="C959" s="3">
        <v>6.1370295546071318E-2</v>
      </c>
      <c r="D959" s="3">
        <v>-0.42788107994537239</v>
      </c>
    </row>
    <row r="960" spans="1:4" x14ac:dyDescent="0.35">
      <c r="A960" s="5">
        <v>45883</v>
      </c>
      <c r="B960" s="3">
        <v>3.4719034153560813E-2</v>
      </c>
      <c r="C960" s="3">
        <v>5.7657573284454866E-2</v>
      </c>
      <c r="D960" s="3">
        <v>-0.43281857337955665</v>
      </c>
    </row>
    <row r="961" spans="1:4" x14ac:dyDescent="0.35">
      <c r="A961" s="5">
        <v>45884</v>
      </c>
      <c r="B961" s="3">
        <v>3.0859568725182696E-2</v>
      </c>
      <c r="C961" s="3">
        <v>5.450677655432612E-2</v>
      </c>
      <c r="D961" s="3">
        <v>-0.43691564239941172</v>
      </c>
    </row>
    <row r="962" spans="1:4" x14ac:dyDescent="0.35">
      <c r="A962" s="5">
        <v>45887</v>
      </c>
      <c r="B962" s="3">
        <v>3.4103737823444114E-2</v>
      </c>
      <c r="C962" s="3">
        <v>6.0273202841737872E-2</v>
      </c>
      <c r="D962" s="3">
        <v>-0.43355394474209474</v>
      </c>
    </row>
    <row r="963" spans="1:4" x14ac:dyDescent="0.35">
      <c r="A963" s="5">
        <v>45888</v>
      </c>
      <c r="B963" s="3">
        <v>3.6256715821881613E-2</v>
      </c>
      <c r="C963" s="3">
        <v>6.3805306182518784E-2</v>
      </c>
      <c r="D963" s="3">
        <v>-0.43618027103687362</v>
      </c>
    </row>
    <row r="964" spans="1:4" x14ac:dyDescent="0.35">
      <c r="A964" s="5">
        <v>45889</v>
      </c>
      <c r="B964" s="3">
        <v>3.4519929539576832E-2</v>
      </c>
      <c r="C964" s="3">
        <v>6.2447319481423014E-2</v>
      </c>
      <c r="D964" s="3">
        <v>-0.43828133207269671</v>
      </c>
    </row>
    <row r="965" spans="1:4" x14ac:dyDescent="0.35">
      <c r="A965" s="5">
        <v>45890</v>
      </c>
      <c r="B965" s="3">
        <v>4.2504034997926876E-2</v>
      </c>
      <c r="C965" s="3">
        <v>6.5564668263248693E-2</v>
      </c>
      <c r="D965" s="3">
        <v>-0.44132787057464018</v>
      </c>
    </row>
    <row r="966" spans="1:4" x14ac:dyDescent="0.35">
      <c r="A966" s="5">
        <v>45891</v>
      </c>
      <c r="B966" s="3">
        <v>4.7593645760961589E-2</v>
      </c>
      <c r="C966" s="3">
        <v>6.8641879507111092E-2</v>
      </c>
      <c r="D966" s="3">
        <v>-0.42945687572223967</v>
      </c>
    </row>
    <row r="967" spans="1:4" x14ac:dyDescent="0.35">
      <c r="A967" s="5">
        <v>45894</v>
      </c>
      <c r="B967" s="3">
        <v>4.2873883784361189E-2</v>
      </c>
      <c r="C967" s="3">
        <v>7.1973295158075157E-2</v>
      </c>
      <c r="D967" s="3">
        <v>-0.41128269776237003</v>
      </c>
    </row>
    <row r="968" spans="1:4" x14ac:dyDescent="0.35">
      <c r="A968" s="5">
        <v>45895</v>
      </c>
      <c r="B968" s="3">
        <v>3.3682640436825784E-2</v>
      </c>
      <c r="C968" s="3">
        <v>5.8018811126125502E-2</v>
      </c>
      <c r="D968" s="3">
        <v>-0.4142241832125223</v>
      </c>
    </row>
    <row r="969" spans="1:4" x14ac:dyDescent="0.35">
      <c r="A969" s="5">
        <v>45896</v>
      </c>
      <c r="B969" s="3">
        <v>3.2285881235872838E-2</v>
      </c>
      <c r="C969" s="3">
        <v>6.2246631791605944E-2</v>
      </c>
      <c r="D969" s="3">
        <v>-0.40718562874251496</v>
      </c>
    </row>
    <row r="970" spans="1:4" x14ac:dyDescent="0.35">
      <c r="A970" s="5">
        <v>45897</v>
      </c>
      <c r="B970" s="3">
        <v>3.9076626432785533E-2</v>
      </c>
      <c r="C970" s="3">
        <v>6.1684706260118016E-2</v>
      </c>
      <c r="D970" s="3">
        <v>-0.4146443954196869</v>
      </c>
    </row>
    <row r="971" spans="1:4" x14ac:dyDescent="0.35">
      <c r="A971" s="5">
        <v>45898</v>
      </c>
      <c r="B971" s="3">
        <v>4.7317183643993177E-2</v>
      </c>
      <c r="C971" s="3">
        <v>5.3690646615736526E-2</v>
      </c>
      <c r="D971" s="3">
        <v>-0.41653535035192768</v>
      </c>
    </row>
    <row r="972" spans="1:4" x14ac:dyDescent="0.35">
      <c r="A972" s="5">
        <v>45901</v>
      </c>
      <c r="B972" s="3">
        <v>4.7306179434817741E-2</v>
      </c>
      <c r="C972" s="3">
        <v>5.3690646615736526E-2</v>
      </c>
      <c r="D972" s="3">
        <v>-0.41653535035192768</v>
      </c>
    </row>
    <row r="973" spans="1:4" x14ac:dyDescent="0.35">
      <c r="A973" s="5">
        <v>45902</v>
      </c>
      <c r="B973" s="3">
        <v>5.0830448898067093E-2</v>
      </c>
      <c r="C973" s="3">
        <v>5.4747601782106692E-2</v>
      </c>
      <c r="D973" s="3">
        <v>-0.42136779073432085</v>
      </c>
    </row>
    <row r="974" spans="1:4" x14ac:dyDescent="0.35">
      <c r="A974" s="5">
        <v>45903</v>
      </c>
      <c r="B974" s="3">
        <v>8.4880275327259946E-2</v>
      </c>
      <c r="C974" s="3">
        <v>5.5965107100330425E-2</v>
      </c>
      <c r="D974" s="3">
        <v>-0.41159785691774342</v>
      </c>
    </row>
    <row r="975" spans="1:4" x14ac:dyDescent="0.35">
      <c r="A975" s="5">
        <v>45904</v>
      </c>
      <c r="B975" s="3">
        <v>8.1928627334153514E-2</v>
      </c>
      <c r="C975" s="3">
        <v>5.5717592282889417E-2</v>
      </c>
      <c r="D975" s="3">
        <v>-0.41317365269461082</v>
      </c>
    </row>
    <row r="976" spans="1:4" x14ac:dyDescent="0.35">
      <c r="A976" s="5">
        <v>45905</v>
      </c>
      <c r="B976" s="3">
        <v>8.1924854888460574E-2</v>
      </c>
      <c r="C976" s="3">
        <v>5.5717592282889417E-2</v>
      </c>
      <c r="D976" s="3">
        <v>-0.41317365269461082</v>
      </c>
    </row>
    <row r="977" spans="1:4" x14ac:dyDescent="0.35">
      <c r="A977" s="5">
        <v>45908</v>
      </c>
      <c r="B977" s="3">
        <v>8.5627830919417391E-2</v>
      </c>
      <c r="C977" s="3">
        <v>6.069464699035354E-2</v>
      </c>
      <c r="D977" s="3">
        <v>-0.41285849353923731</v>
      </c>
    </row>
    <row r="978" spans="1:4" x14ac:dyDescent="0.35">
      <c r="A978" s="5">
        <v>45909</v>
      </c>
      <c r="B978" s="3">
        <v>7.2206557636147917E-2</v>
      </c>
      <c r="C978" s="3">
        <v>6.1510776928943134E-2</v>
      </c>
      <c r="D978" s="3">
        <v>-0.41579997898938958</v>
      </c>
    </row>
    <row r="979" spans="1:4" x14ac:dyDescent="0.35">
      <c r="A979" s="5">
        <v>45910</v>
      </c>
      <c r="B979" s="3">
        <v>8.1893079861695028E-2</v>
      </c>
      <c r="C979" s="3">
        <v>6.4146475255207891E-2</v>
      </c>
      <c r="D979" s="3">
        <v>-0.41579997898938958</v>
      </c>
    </row>
    <row r="980" spans="1:4" x14ac:dyDescent="0.35">
      <c r="A980" s="5">
        <v>45911</v>
      </c>
      <c r="B980" s="3">
        <v>7.4945323387522356E-2</v>
      </c>
      <c r="C980" s="3">
        <v>5.8861699423357283E-2</v>
      </c>
      <c r="D980" s="3">
        <v>-0.40645025737997686</v>
      </c>
    </row>
    <row r="981" spans="1:4" x14ac:dyDescent="0.35">
      <c r="A981" s="5">
        <v>45912</v>
      </c>
      <c r="B981" s="3">
        <v>8.9572094366197508E-2</v>
      </c>
      <c r="C981" s="3">
        <v>7.0421310356822753E-2</v>
      </c>
      <c r="D981" s="3">
        <v>-0.40287845361907759</v>
      </c>
    </row>
    <row r="982" spans="1:4" x14ac:dyDescent="0.35">
      <c r="A982" s="5">
        <v>45915</v>
      </c>
      <c r="B982" s="3">
        <v>8.956073229656103E-2</v>
      </c>
      <c r="C982" s="3">
        <v>7.0421310356822753E-2</v>
      </c>
      <c r="D982" s="3">
        <v>-0.40287845361907759</v>
      </c>
    </row>
    <row r="983" spans="1:4" x14ac:dyDescent="0.35">
      <c r="A983" s="5">
        <v>45916</v>
      </c>
      <c r="B983" s="3">
        <v>8.9556944940015537E-2</v>
      </c>
      <c r="C983" s="3">
        <v>7.0421310356822753E-2</v>
      </c>
      <c r="D983" s="3">
        <v>-0.40287845361907759</v>
      </c>
    </row>
    <row r="984" spans="1:4" x14ac:dyDescent="0.35">
      <c r="A984" s="5">
        <v>45917</v>
      </c>
      <c r="B984" s="3">
        <v>0.10691471311589096</v>
      </c>
      <c r="C984" s="3">
        <v>7.8161165594102577E-2</v>
      </c>
      <c r="D984" s="3">
        <v>-0.39867633154743143</v>
      </c>
    </row>
    <row r="985" spans="1:4" x14ac:dyDescent="0.35">
      <c r="A985" s="5">
        <v>45918</v>
      </c>
      <c r="B985" s="3">
        <v>0.12108662853779384</v>
      </c>
      <c r="C985" s="3">
        <v>6.9618559597554475E-2</v>
      </c>
      <c r="D985" s="3">
        <v>-0.39478936863115877</v>
      </c>
    </row>
    <row r="986" spans="1:4" x14ac:dyDescent="0.35">
      <c r="A986" s="5">
        <v>45919</v>
      </c>
      <c r="B986" s="3">
        <v>0.15306208698314716</v>
      </c>
      <c r="C986" s="3">
        <v>6.9150288321314424E-2</v>
      </c>
      <c r="D986" s="3">
        <v>-0.38943166298980991</v>
      </c>
    </row>
    <row r="987" spans="1:4" x14ac:dyDescent="0.35">
      <c r="A987" s="5">
        <v>45922</v>
      </c>
      <c r="B987" s="3">
        <v>0.16276759072397895</v>
      </c>
      <c r="C987" s="3">
        <v>7.2568668637865708E-2</v>
      </c>
      <c r="D987" s="3">
        <v>-0.38869629162727182</v>
      </c>
    </row>
    <row r="988" spans="1:4" x14ac:dyDescent="0.35">
      <c r="A988" s="5">
        <v>45923</v>
      </c>
      <c r="B988" s="3">
        <v>0.17906612175702619</v>
      </c>
      <c r="C988" s="3">
        <v>7.2709150020737745E-2</v>
      </c>
      <c r="D988" s="3">
        <v>-0.38628007143607523</v>
      </c>
    </row>
    <row r="989" spans="1:4" x14ac:dyDescent="0.35">
      <c r="A989" s="5">
        <v>45924</v>
      </c>
      <c r="B989" s="3">
        <v>0.1757577465277218</v>
      </c>
      <c r="C989" s="3">
        <v>7.0106899642776055E-2</v>
      </c>
      <c r="D989" s="3">
        <v>-0.38092236579472627</v>
      </c>
    </row>
    <row r="990" spans="1:4" x14ac:dyDescent="0.35">
      <c r="A990" s="5">
        <v>45925</v>
      </c>
      <c r="B990" s="3">
        <v>0.18294790873165834</v>
      </c>
      <c r="C990" s="3">
        <v>6.9310838473168213E-2</v>
      </c>
      <c r="D990" s="3">
        <v>-0.38459922260741675</v>
      </c>
    </row>
    <row r="991" spans="1:4" x14ac:dyDescent="0.35">
      <c r="A991" s="5">
        <v>45926</v>
      </c>
      <c r="B991" s="3">
        <v>0.18625368947262033</v>
      </c>
      <c r="C991" s="3">
        <v>7.6388424334051352E-2</v>
      </c>
      <c r="D991" s="3">
        <v>-0.39216304233637989</v>
      </c>
    </row>
    <row r="992" spans="1:4" x14ac:dyDescent="0.35">
      <c r="A992" s="5">
        <v>45929</v>
      </c>
      <c r="B992" s="3">
        <v>0.18374441665270891</v>
      </c>
      <c r="C992" s="3">
        <v>7.7659446369559904E-2</v>
      </c>
      <c r="D992" s="3">
        <v>-0.39384389116503826</v>
      </c>
    </row>
    <row r="993" spans="1:4" x14ac:dyDescent="0.35">
      <c r="A993" s="5">
        <v>45930</v>
      </c>
      <c r="B993" s="3">
        <v>0.18510601606336974</v>
      </c>
      <c r="C993" s="3">
        <v>7.8281578207992863E-2</v>
      </c>
      <c r="D993" s="3">
        <v>-0.39373883811324717</v>
      </c>
    </row>
    <row r="994" spans="1:4" x14ac:dyDescent="0.35">
      <c r="A994" s="5">
        <v>45931</v>
      </c>
      <c r="B994" s="3">
        <v>0.1924420809594225</v>
      </c>
      <c r="C994" s="3">
        <v>8.4295519312845402E-2</v>
      </c>
      <c r="D994" s="3">
        <v>-0.3774556150856182</v>
      </c>
    </row>
    <row r="995" spans="1:4" x14ac:dyDescent="0.35">
      <c r="A995" s="5">
        <v>45932</v>
      </c>
      <c r="B995" s="3">
        <v>0.18655178723662558</v>
      </c>
      <c r="C995" s="3">
        <v>9.5620994608190735E-2</v>
      </c>
      <c r="D995" s="3">
        <v>-0.34205273663199909</v>
      </c>
    </row>
    <row r="996" spans="1:4" x14ac:dyDescent="0.35">
      <c r="A996" s="5">
        <v>45933</v>
      </c>
      <c r="B996" s="3">
        <v>0.18356147540287981</v>
      </c>
      <c r="C996" s="3">
        <v>9.3788047041194478E-2</v>
      </c>
      <c r="D996" s="3">
        <v>-0.33900619813005561</v>
      </c>
    </row>
    <row r="997" spans="1:4" x14ac:dyDescent="0.35">
      <c r="A997" s="5">
        <v>45936</v>
      </c>
      <c r="B997" s="3">
        <v>0.18130945952186361</v>
      </c>
      <c r="C997" s="3">
        <v>9.5814992708347368E-2</v>
      </c>
      <c r="D997" s="3">
        <v>-0.33869103897468222</v>
      </c>
    </row>
    <row r="998" spans="1:4" x14ac:dyDescent="0.35">
      <c r="A998" s="5">
        <v>45937</v>
      </c>
      <c r="B998" s="3">
        <v>0.17399127273800752</v>
      </c>
      <c r="C998" s="3">
        <v>9.042318344192779E-2</v>
      </c>
      <c r="D998" s="3">
        <v>-0.33291312112616867</v>
      </c>
    </row>
    <row r="999" spans="1:4" x14ac:dyDescent="0.35">
      <c r="A999" s="5">
        <v>45938</v>
      </c>
      <c r="B999" s="3">
        <v>0.16975301201167081</v>
      </c>
      <c r="C999" s="3">
        <v>8.8730717257803571E-2</v>
      </c>
      <c r="D999" s="3">
        <v>-0.34110725916587881</v>
      </c>
    </row>
    <row r="1000" spans="1:4" x14ac:dyDescent="0.35">
      <c r="A1000" s="5">
        <v>45939</v>
      </c>
      <c r="B1000" s="3">
        <v>0.1867522934707484</v>
      </c>
      <c r="C1000" s="3">
        <v>9.0182358214147218E-2</v>
      </c>
      <c r="D1000" s="3">
        <v>-0.32230276289526205</v>
      </c>
    </row>
    <row r="1001" spans="1:4" x14ac:dyDescent="0.35">
      <c r="A1001" s="5">
        <v>45940</v>
      </c>
      <c r="B1001" s="3">
        <v>0.19034512303398299</v>
      </c>
      <c r="C1001" s="3">
        <v>8.5218682686004188E-2</v>
      </c>
      <c r="D1001" s="3">
        <v>-0.33070700703855449</v>
      </c>
    </row>
    <row r="1002" spans="1:4" x14ac:dyDescent="0.35">
      <c r="A1002" s="5">
        <v>45943</v>
      </c>
      <c r="B1002" s="3">
        <v>0.17021933401404743</v>
      </c>
      <c r="C1002" s="3">
        <v>8.0495832385641508E-2</v>
      </c>
      <c r="D1002" s="3">
        <v>-0.33637987183527673</v>
      </c>
    </row>
    <row r="1003" spans="1:4" x14ac:dyDescent="0.35">
      <c r="A1003" s="5">
        <v>45944</v>
      </c>
      <c r="B1003" s="3">
        <v>0.16502977580642852</v>
      </c>
      <c r="C1003" s="3">
        <v>7.8000615442248789E-2</v>
      </c>
      <c r="D1003" s="3">
        <v>-0.35161256434499422</v>
      </c>
    </row>
    <row r="1004" spans="1:4" x14ac:dyDescent="0.35">
      <c r="A1004" s="5">
        <v>45945</v>
      </c>
      <c r="B1004" s="3">
        <v>0.17184348371625502</v>
      </c>
      <c r="C1004" s="3">
        <v>7.8060821749194043E-2</v>
      </c>
      <c r="D1004" s="3">
        <v>-0.34657001785901875</v>
      </c>
    </row>
    <row r="1005" spans="1:4" x14ac:dyDescent="0.35">
      <c r="A1005" s="5">
        <v>45946</v>
      </c>
      <c r="B1005" s="3">
        <v>0.17924166722399493</v>
      </c>
      <c r="C1005" s="3">
        <v>7.8555851384076059E-2</v>
      </c>
      <c r="D1005" s="3">
        <v>-0.33396365164408026</v>
      </c>
    </row>
    <row r="1006" spans="1:4" x14ac:dyDescent="0.35">
      <c r="A1006" s="5">
        <v>45947</v>
      </c>
      <c r="B1006" s="3">
        <v>0.16019777984275008</v>
      </c>
      <c r="C1006" s="3">
        <v>7.5137471067524775E-2</v>
      </c>
      <c r="D1006" s="3">
        <v>-0.35938649017753965</v>
      </c>
    </row>
    <row r="1007" spans="1:4" x14ac:dyDescent="0.35">
      <c r="A1007" s="5">
        <v>45950</v>
      </c>
      <c r="B1007" s="3">
        <v>0.16018579151730683</v>
      </c>
      <c r="C1007" s="3">
        <v>7.5137471067524775E-2</v>
      </c>
      <c r="D1007" s="3">
        <v>-0.35938649017753965</v>
      </c>
    </row>
    <row r="1008" spans="1:4" x14ac:dyDescent="0.35">
      <c r="A1008" s="5">
        <v>45951</v>
      </c>
      <c r="B1008" s="3">
        <v>0.17217608519304073</v>
      </c>
      <c r="C1008" s="3">
        <v>8.1592925089974955E-2</v>
      </c>
      <c r="D1008" s="3">
        <v>-0.34415379766782228</v>
      </c>
    </row>
    <row r="1009" spans="1:4" x14ac:dyDescent="0.35">
      <c r="A1009" s="5">
        <v>45952</v>
      </c>
      <c r="B1009" s="3">
        <v>0.17068440350481007</v>
      </c>
      <c r="C1009" s="3">
        <v>7.2133845309928724E-2</v>
      </c>
      <c r="D1009" s="3">
        <v>-0.34667507091080996</v>
      </c>
    </row>
    <row r="1010" spans="1:4" x14ac:dyDescent="0.35">
      <c r="A1010" s="5">
        <v>45953</v>
      </c>
      <c r="B1010" s="3">
        <v>0.17532558528851783</v>
      </c>
      <c r="C1010" s="3">
        <v>7.5686017419691609E-2</v>
      </c>
      <c r="D1010" s="3">
        <v>-0.34730538922155685</v>
      </c>
    </row>
    <row r="1011" spans="1:4" x14ac:dyDescent="0.35">
      <c r="A1011" s="5">
        <v>45954</v>
      </c>
      <c r="B1011" s="3">
        <v>0.16243901517737913</v>
      </c>
      <c r="C1011" s="3">
        <v>7.9211431170812086E-2</v>
      </c>
      <c r="D1011" s="3">
        <v>-0.33848093287109993</v>
      </c>
    </row>
    <row r="1012" spans="1:4" x14ac:dyDescent="0.35">
      <c r="A1012" s="5">
        <v>45957</v>
      </c>
      <c r="B1012" s="3">
        <v>0.17198185642783814</v>
      </c>
      <c r="C1012" s="3">
        <v>8.2629811487363591E-2</v>
      </c>
      <c r="D1012" s="3">
        <v>-0.33081206009034558</v>
      </c>
    </row>
    <row r="1013" spans="1:4" x14ac:dyDescent="0.35">
      <c r="A1013" s="5">
        <v>45958</v>
      </c>
      <c r="B1013" s="3">
        <v>0.15793971015560215</v>
      </c>
      <c r="C1013" s="3">
        <v>7.9405429270968497E-2</v>
      </c>
      <c r="D1013" s="3">
        <v>-0.33102216619392788</v>
      </c>
    </row>
    <row r="1014" spans="1:4" x14ac:dyDescent="0.35">
      <c r="A1014" s="5">
        <v>45959</v>
      </c>
      <c r="B1014" s="3">
        <v>0.13907199449713259</v>
      </c>
      <c r="C1014" s="3">
        <v>7.5699396599012703E-2</v>
      </c>
      <c r="D1014" s="3">
        <v>-0.33343838638512446</v>
      </c>
    </row>
    <row r="1015" spans="1:4" x14ac:dyDescent="0.35">
      <c r="A1015" s="5">
        <v>45960</v>
      </c>
      <c r="B1015" s="3">
        <v>0.13941100764051129</v>
      </c>
      <c r="C1015" s="3">
        <v>7.9833563009245045E-2</v>
      </c>
      <c r="D1015" s="3">
        <v>-0.33732534930139724</v>
      </c>
    </row>
    <row r="1016" spans="1:4" x14ac:dyDescent="0.35">
      <c r="A1016" s="5">
        <v>45961</v>
      </c>
      <c r="B1016" s="3">
        <v>0.16630028481891435</v>
      </c>
      <c r="C1016" s="3">
        <v>7.6455320230657264E-2</v>
      </c>
      <c r="D1016" s="3">
        <v>-0.33511923521378295</v>
      </c>
    </row>
    <row r="1017" spans="1:4" x14ac:dyDescent="0.35">
      <c r="A1017" s="5">
        <v>45964</v>
      </c>
      <c r="B1017" s="3">
        <v>0.13951575637961389</v>
      </c>
      <c r="C1017" s="3">
        <v>8.5332405710233816E-2</v>
      </c>
      <c r="D1017" s="3">
        <v>-0.34667507091080996</v>
      </c>
    </row>
    <row r="1018" spans="1:4" x14ac:dyDescent="0.35">
      <c r="A1018" s="5">
        <v>45965</v>
      </c>
      <c r="B1018" s="3">
        <v>0.14277729662108585</v>
      </c>
      <c r="C1018" s="3">
        <v>8.6054881393575311E-2</v>
      </c>
      <c r="D1018" s="3">
        <v>-0.35676016388276077</v>
      </c>
    </row>
    <row r="1019" spans="1:4" x14ac:dyDescent="0.35">
      <c r="A1019" s="5">
        <v>45966</v>
      </c>
      <c r="B1019" s="3">
        <v>0.14258994175890449</v>
      </c>
      <c r="C1019" s="3">
        <v>8.4750411409764137E-2</v>
      </c>
      <c r="D1019" s="3">
        <v>-0.35633995167559618</v>
      </c>
    </row>
    <row r="1020" spans="1:4" x14ac:dyDescent="0.35">
      <c r="A1020" s="5">
        <v>45967</v>
      </c>
      <c r="B1020" s="3">
        <v>0.16104860799960874</v>
      </c>
      <c r="C1020" s="3">
        <v>8.3004428508355321E-2</v>
      </c>
      <c r="D1020" s="3">
        <v>-0.35402878453619069</v>
      </c>
    </row>
    <row r="1021" spans="1:4" x14ac:dyDescent="0.35">
      <c r="A1021" s="5">
        <v>45968</v>
      </c>
      <c r="B1021" s="3">
        <v>0.16866554862498195</v>
      </c>
      <c r="C1021" s="3">
        <v>8.3131530711906265E-2</v>
      </c>
      <c r="D1021" s="3">
        <v>-0.3542388906397731</v>
      </c>
    </row>
    <row r="1022" spans="1:4" x14ac:dyDescent="0.35">
      <c r="A1022" s="5">
        <v>45971</v>
      </c>
      <c r="B1022" s="3">
        <v>0.17326384679678086</v>
      </c>
      <c r="C1022" s="3">
        <v>8.9894705858742707E-2</v>
      </c>
      <c r="D1022" s="3">
        <v>-0.34562454039289836</v>
      </c>
    </row>
    <row r="1023" spans="1:4" x14ac:dyDescent="0.35">
      <c r="A1023" s="5">
        <v>45972</v>
      </c>
      <c r="B1023" s="3">
        <v>0.17291763171162433</v>
      </c>
      <c r="C1023" s="3">
        <v>9.3634186479001347E-2</v>
      </c>
      <c r="D1023" s="3">
        <v>-0.34425885071961337</v>
      </c>
    </row>
    <row r="1024" spans="1:4" x14ac:dyDescent="0.35">
      <c r="A1024" s="5">
        <v>45973</v>
      </c>
      <c r="B1024" s="3">
        <v>0.16531994099688219</v>
      </c>
      <c r="C1024" s="3">
        <v>9.1480138608297734E-2</v>
      </c>
      <c r="D1024" s="3">
        <v>-0.34867107889484183</v>
      </c>
    </row>
    <row r="1025" spans="1:4" x14ac:dyDescent="0.35">
      <c r="A1025" s="5">
        <v>45974</v>
      </c>
      <c r="B1025" s="3">
        <v>0.16815941464632034</v>
      </c>
      <c r="C1025" s="3">
        <v>9.1921651525895376E-2</v>
      </c>
      <c r="D1025" s="3">
        <v>-0.35234793570753231</v>
      </c>
    </row>
    <row r="1026" spans="1:4" x14ac:dyDescent="0.35">
      <c r="A1026" s="5">
        <v>45975</v>
      </c>
      <c r="B1026" s="3">
        <v>0.15897971229865182</v>
      </c>
      <c r="C1026" s="3">
        <v>8.750652234991918E-2</v>
      </c>
      <c r="D1026" s="3">
        <v>-0.36505935497426201</v>
      </c>
    </row>
    <row r="1027" spans="1:4" x14ac:dyDescent="0.35">
      <c r="A1027" s="5">
        <v>45978</v>
      </c>
      <c r="B1027" s="3">
        <v>0.13982512674814074</v>
      </c>
      <c r="C1027" s="3">
        <v>8.8683890130179632E-2</v>
      </c>
      <c r="D1027" s="3">
        <v>-0.36747557516545848</v>
      </c>
    </row>
    <row r="1028" spans="1:4" x14ac:dyDescent="0.35">
      <c r="A1028" s="5">
        <v>45979</v>
      </c>
      <c r="B1028" s="3">
        <v>0.13252875454155255</v>
      </c>
      <c r="C1028" s="3">
        <v>7.9739908753997168E-2</v>
      </c>
      <c r="D1028" s="3">
        <v>-0.3777707742409917</v>
      </c>
    </row>
    <row r="1029" spans="1:4" x14ac:dyDescent="0.35">
      <c r="A1029" s="5">
        <v>45980</v>
      </c>
      <c r="B1029" s="3">
        <v>0.15709790306453053</v>
      </c>
      <c r="C1029" s="3">
        <v>8.6315775390337635E-2</v>
      </c>
      <c r="D1029" s="3">
        <v>-0.3782960394999475</v>
      </c>
    </row>
    <row r="1030" spans="1:4" x14ac:dyDescent="0.35">
      <c r="A1030" s="5">
        <v>45981</v>
      </c>
      <c r="B1030" s="3">
        <v>0.16887346555281768</v>
      </c>
      <c r="C1030" s="3">
        <v>8.3686766653733535E-2</v>
      </c>
      <c r="D1030" s="3">
        <v>-0.3651644080260531</v>
      </c>
    </row>
    <row r="1031" spans="1:4" x14ac:dyDescent="0.35">
      <c r="A1031" s="5">
        <v>45982</v>
      </c>
      <c r="B1031" s="3">
        <v>0.13139445616703149</v>
      </c>
      <c r="C1031" s="3">
        <v>8.2087954724857193E-2</v>
      </c>
      <c r="D1031" s="3">
        <v>-0.38081731274293518</v>
      </c>
    </row>
    <row r="1032" spans="1:4" x14ac:dyDescent="0.35">
      <c r="A1032" s="5">
        <v>45985</v>
      </c>
      <c r="B1032" s="3">
        <v>0.12626494396259669</v>
      </c>
      <c r="C1032" s="3">
        <v>8.2897395073786129E-2</v>
      </c>
      <c r="D1032" s="3">
        <v>-0.37651013761949781</v>
      </c>
    </row>
    <row r="1033" spans="1:4" x14ac:dyDescent="0.35">
      <c r="A1033" s="5">
        <v>45986</v>
      </c>
      <c r="B1033" s="3">
        <v>0.14835890587457268</v>
      </c>
      <c r="C1033" s="3">
        <v>7.8187923952744764E-2</v>
      </c>
      <c r="D1033" s="3">
        <v>-0.37010190146023736</v>
      </c>
    </row>
    <row r="1034" spans="1:4" x14ac:dyDescent="0.35">
      <c r="A1034" s="5">
        <v>45987</v>
      </c>
      <c r="B1034" s="3">
        <v>0.1463568704364111</v>
      </c>
      <c r="C1034" s="3">
        <v>8.6723840359632431E-2</v>
      </c>
      <c r="D1034" s="3">
        <v>-0.37997688832860588</v>
      </c>
    </row>
    <row r="1035" spans="1:4" x14ac:dyDescent="0.35">
      <c r="A1035" s="5">
        <v>45988</v>
      </c>
      <c r="B1035" s="3">
        <v>0.13197882738897726</v>
      </c>
      <c r="C1035" s="3">
        <v>8.2014369238591067E-2</v>
      </c>
      <c r="D1035" s="3">
        <v>-0.38123752495009977</v>
      </c>
    </row>
    <row r="1036" spans="1:4" x14ac:dyDescent="0.35">
      <c r="A1036" s="5">
        <v>45989</v>
      </c>
      <c r="B1036" s="3">
        <v>0.11255604033380573</v>
      </c>
      <c r="C1036" s="3">
        <v>7.3324592269510269E-2</v>
      </c>
      <c r="D1036" s="3">
        <v>-0.39457926252757636</v>
      </c>
    </row>
    <row r="1037" spans="1:4" x14ac:dyDescent="0.35">
      <c r="A1037" s="5">
        <v>45992</v>
      </c>
      <c r="B1037" s="3">
        <v>0.10285235571698381</v>
      </c>
      <c r="C1037" s="3">
        <v>8.677066748725637E-2</v>
      </c>
      <c r="D1037" s="3">
        <v>-0.40802605315684415</v>
      </c>
    </row>
    <row r="1038" spans="1:4" x14ac:dyDescent="0.35">
      <c r="A1038" s="5">
        <v>45993</v>
      </c>
      <c r="B1038" s="3">
        <v>7.5069247482993262E-2</v>
      </c>
      <c r="C1038" s="3">
        <v>9.0804490052580178E-2</v>
      </c>
      <c r="D1038" s="3">
        <v>-0.40960184893371143</v>
      </c>
    </row>
    <row r="1039" spans="1:4" x14ac:dyDescent="0.35">
      <c r="A1039" s="5">
        <v>45994</v>
      </c>
      <c r="B1039" s="3">
        <v>7.6198684919585702E-2</v>
      </c>
      <c r="C1039" s="3">
        <v>8.5613368475977669E-2</v>
      </c>
      <c r="D1039" s="3">
        <v>-0.40025212732429871</v>
      </c>
    </row>
    <row r="1040" spans="1:4" x14ac:dyDescent="0.35">
      <c r="A1040" s="5">
        <v>45995</v>
      </c>
      <c r="B1040" s="3">
        <v>7.3332013875112123E-2</v>
      </c>
      <c r="C1040" s="3">
        <v>8.4429311106056781E-2</v>
      </c>
      <c r="D1040" s="3">
        <v>-0.39815106628847563</v>
      </c>
    </row>
    <row r="1041" spans="1:4" x14ac:dyDescent="0.35">
      <c r="A1041" s="5">
        <v>45996</v>
      </c>
      <c r="B1041" s="3">
        <v>7.7533101846063657E-2</v>
      </c>
      <c r="C1041" s="3">
        <v>8.1385547810497449E-2</v>
      </c>
      <c r="D1041" s="3">
        <v>-0.40403403718878039</v>
      </c>
    </row>
    <row r="1042" spans="1:4" x14ac:dyDescent="0.35">
      <c r="A1042" s="5">
        <v>45999</v>
      </c>
      <c r="B1042" s="3">
        <v>7.3823848346186827E-2</v>
      </c>
      <c r="C1042" s="3">
        <v>7.8883641277444072E-2</v>
      </c>
      <c r="D1042" s="3">
        <v>-0.40497951465490067</v>
      </c>
    </row>
    <row r="1043" spans="1:4" x14ac:dyDescent="0.35">
      <c r="A1043" s="5">
        <v>46000</v>
      </c>
      <c r="B1043" s="3">
        <v>7.2686851107355732E-2</v>
      </c>
      <c r="C1043" s="3">
        <v>7.9813494240263516E-2</v>
      </c>
      <c r="D1043" s="3">
        <v>-0.40676541653535037</v>
      </c>
    </row>
    <row r="1044" spans="1:4" x14ac:dyDescent="0.35">
      <c r="A1044" s="5">
        <v>46001</v>
      </c>
      <c r="B1044" s="3">
        <v>7.9661357650987252E-2</v>
      </c>
      <c r="C1044" s="3">
        <v>7.7692894317862526E-2</v>
      </c>
      <c r="D1044" s="3">
        <v>-0.39972686206534302</v>
      </c>
    </row>
    <row r="1045" spans="1:4" x14ac:dyDescent="0.35">
      <c r="A1045" s="5">
        <v>46002</v>
      </c>
      <c r="B1045" s="3">
        <v>8.0910081907910492E-2</v>
      </c>
      <c r="C1045" s="3">
        <v>8.7319213839423204E-2</v>
      </c>
      <c r="D1045" s="3">
        <v>-0.40109255173862801</v>
      </c>
    </row>
    <row r="1046" spans="1:4" x14ac:dyDescent="0.35">
      <c r="A1046" s="5">
        <v>46003</v>
      </c>
      <c r="B1046" s="3">
        <v>7.9623946321961236E-2</v>
      </c>
      <c r="C1046" s="3">
        <v>9.5627684197851393E-2</v>
      </c>
      <c r="D1046" s="3">
        <v>-0.39972686206534302</v>
      </c>
    </row>
    <row r="1047" spans="1:4" x14ac:dyDescent="0.35">
      <c r="A1047" s="5">
        <v>46006</v>
      </c>
      <c r="B1047" s="3">
        <v>6.455262318561994E-2</v>
      </c>
      <c r="C1047" s="3">
        <v>9.9581231687248417E-2</v>
      </c>
      <c r="D1047" s="3">
        <v>-0.40413909024057149</v>
      </c>
    </row>
    <row r="1048" spans="1:4" x14ac:dyDescent="0.35">
      <c r="A1048" s="5">
        <v>46007</v>
      </c>
      <c r="B1048" s="3">
        <v>4.8754604739826179E-2</v>
      </c>
      <c r="C1048" s="3">
        <v>0.10265175334145016</v>
      </c>
      <c r="D1048" s="3">
        <v>-0.4144342893161046</v>
      </c>
    </row>
    <row r="1049" spans="1:4" x14ac:dyDescent="0.35">
      <c r="A1049" s="5">
        <v>46008</v>
      </c>
      <c r="B1049" s="3">
        <v>4.3293519907430911E-2</v>
      </c>
      <c r="C1049" s="3">
        <v>9.8056005244638422E-2</v>
      </c>
      <c r="D1049" s="3">
        <v>-0.4019329761529572</v>
      </c>
    </row>
    <row r="1050" spans="1:4" x14ac:dyDescent="0.35">
      <c r="A1050" s="5">
        <v>46009</v>
      </c>
      <c r="B1050" s="3">
        <v>5.8528713313200642E-2</v>
      </c>
      <c r="C1050" s="3">
        <v>0.10170852119930984</v>
      </c>
      <c r="D1050" s="3">
        <v>-0.40529467381027418</v>
      </c>
    </row>
    <row r="1051" spans="1:4" x14ac:dyDescent="0.35">
      <c r="A1051" s="5">
        <v>46010</v>
      </c>
      <c r="B1051" s="3">
        <v>4.5164861723067995E-2</v>
      </c>
      <c r="C1051" s="3">
        <v>0.11441874155439313</v>
      </c>
      <c r="D1051" s="3">
        <v>-0.40413909024057149</v>
      </c>
    </row>
    <row r="1052" spans="1:4" x14ac:dyDescent="0.35">
      <c r="A1052" s="5">
        <v>46013</v>
      </c>
      <c r="B1052" s="3">
        <v>4.4915194408116532E-2</v>
      </c>
      <c r="C1052" s="3">
        <v>0.11802443038144039</v>
      </c>
      <c r="D1052" s="3">
        <v>-0.40382393108519798</v>
      </c>
    </row>
    <row r="1053" spans="1:4" x14ac:dyDescent="0.35">
      <c r="A1053" s="5">
        <v>46014</v>
      </c>
      <c r="B1053" s="3">
        <v>5.421586850245208E-2</v>
      </c>
      <c r="C1053" s="3">
        <v>0.12160336084984569</v>
      </c>
      <c r="D1053" s="3">
        <v>-0.4020380292047484</v>
      </c>
    </row>
    <row r="1054" spans="1:4" x14ac:dyDescent="0.35">
      <c r="A1054" s="5">
        <v>46015</v>
      </c>
      <c r="B1054" s="3">
        <v>5.8685396551704461E-2</v>
      </c>
      <c r="C1054" s="3">
        <v>0.12272052232316066</v>
      </c>
      <c r="D1054" s="3">
        <v>-0.40392898413698919</v>
      </c>
    </row>
    <row r="1055" spans="1:4" x14ac:dyDescent="0.35">
      <c r="A1055" s="5">
        <v>46016</v>
      </c>
      <c r="B1055" s="3">
        <v>5.8681653927716404E-2</v>
      </c>
      <c r="C1055" s="3">
        <v>0.12272052232316066</v>
      </c>
      <c r="D1055" s="3">
        <v>-0.40392898413698919</v>
      </c>
    </row>
    <row r="1056" spans="1:4" x14ac:dyDescent="0.35">
      <c r="A1056" s="5">
        <v>46017</v>
      </c>
      <c r="B1056" s="3">
        <v>5.4801089642992906E-2</v>
      </c>
      <c r="C1056" s="3">
        <v>0.12191108197423173</v>
      </c>
      <c r="D1056" s="3">
        <v>-0.40876142451938224</v>
      </c>
    </row>
    <row r="1057" spans="1:4" x14ac:dyDescent="0.35">
      <c r="A1057" s="5">
        <v>46020</v>
      </c>
      <c r="B1057" s="3">
        <v>5.3298821249457617E-2</v>
      </c>
      <c r="C1057" s="3">
        <v>0.12451333235219364</v>
      </c>
      <c r="D1057" s="3">
        <v>-0.41096753860699653</v>
      </c>
    </row>
    <row r="1058" spans="1:4" x14ac:dyDescent="0.35">
      <c r="A1058" s="5">
        <v>46021</v>
      </c>
      <c r="B1058" s="3">
        <v>5.8394605105444253E-2</v>
      </c>
      <c r="C1058" s="3">
        <v>0.12688144709203542</v>
      </c>
      <c r="D1058" s="3">
        <v>-0.40991700808908493</v>
      </c>
    </row>
    <row r="1059" spans="1:4" x14ac:dyDescent="0.35">
      <c r="A1059" s="5">
        <v>46022</v>
      </c>
      <c r="B1059" s="3">
        <v>4.7625241857496281E-2</v>
      </c>
      <c r="C1059" s="3">
        <v>0.1239246484620633</v>
      </c>
      <c r="D1059" s="3">
        <v>-0.41601008509297188</v>
      </c>
    </row>
    <row r="1060" spans="1:4" x14ac:dyDescent="0.35">
      <c r="A1060" s="5">
        <v>46023</v>
      </c>
      <c r="B1060" s="3">
        <v>4.7621543966066104E-2</v>
      </c>
      <c r="C1060" s="3">
        <v>0.1239246484620633</v>
      </c>
      <c r="D1060" s="3">
        <v>-0.41601008509297188</v>
      </c>
    </row>
    <row r="1061" spans="1:4" x14ac:dyDescent="0.35">
      <c r="A1061" s="5">
        <v>46024</v>
      </c>
      <c r="B1061" s="3">
        <v>4.7856419715296417E-2</v>
      </c>
      <c r="C1061" s="3">
        <v>0.11700092316337329</v>
      </c>
      <c r="D1061" s="3">
        <v>-0.41737577476625698</v>
      </c>
    </row>
    <row r="1062" spans="1:4" x14ac:dyDescent="0.35">
      <c r="A1062" s="5">
        <v>46027</v>
      </c>
      <c r="B1062" s="3">
        <v>4.4743823979859432E-2</v>
      </c>
      <c r="C1062" s="3">
        <v>0.12406512984493534</v>
      </c>
      <c r="D1062" s="3">
        <v>-0.41065237945162303</v>
      </c>
    </row>
    <row r="1063" spans="1:4" x14ac:dyDescent="0.35">
      <c r="A1063" s="5">
        <v>46028</v>
      </c>
      <c r="B1063" s="3">
        <v>4.8855521389825851E-2</v>
      </c>
      <c r="C1063" s="3">
        <v>0.11873352688546079</v>
      </c>
      <c r="D1063" s="3">
        <v>-0.40319361277445109</v>
      </c>
    </row>
    <row r="1064" spans="1:4" x14ac:dyDescent="0.35">
      <c r="A1064" s="5">
        <v>46029</v>
      </c>
      <c r="B1064" s="3">
        <v>5.4040785271912473E-2</v>
      </c>
      <c r="C1064" s="3">
        <v>0.12173046305339641</v>
      </c>
      <c r="D1064" s="3">
        <v>-0.40088244563504571</v>
      </c>
    </row>
    <row r="1065" spans="1:4" x14ac:dyDescent="0.35">
      <c r="A1065" s="5">
        <v>46030</v>
      </c>
      <c r="B1065" s="3">
        <v>5.3917770738446613E-2</v>
      </c>
      <c r="C1065" s="3">
        <v>0.11687382095982235</v>
      </c>
      <c r="D1065" s="3">
        <v>-0.39626011135623485</v>
      </c>
    </row>
    <row r="1066" spans="1:4" x14ac:dyDescent="0.35">
      <c r="A1066" s="5">
        <v>46031</v>
      </c>
      <c r="B1066" s="3">
        <v>6.7333810312474318E-2</v>
      </c>
      <c r="C1066" s="3">
        <v>0.12822605461381009</v>
      </c>
      <c r="D1066" s="3">
        <v>-0.38207794936442907</v>
      </c>
    </row>
    <row r="1067" spans="1:4" x14ac:dyDescent="0.35">
      <c r="A1067" s="5">
        <v>46034</v>
      </c>
      <c r="B1067" s="3">
        <v>7.9990532610686671E-2</v>
      </c>
      <c r="C1067" s="3">
        <v>0.1341797894117176</v>
      </c>
      <c r="D1067" s="3">
        <v>-0.38470427565920784</v>
      </c>
    </row>
    <row r="1068" spans="1:4" x14ac:dyDescent="0.35">
      <c r="A1068" s="5">
        <v>46035</v>
      </c>
      <c r="B1068" s="3">
        <v>5.8164218552972935E-2</v>
      </c>
      <c r="C1068" s="3">
        <v>0.14271570581860527</v>
      </c>
      <c r="D1068" s="3">
        <v>-0.38953671604160101</v>
      </c>
    </row>
    <row r="1069" spans="1:4" x14ac:dyDescent="0.35">
      <c r="A1069" s="5">
        <v>46036</v>
      </c>
      <c r="B1069" s="3">
        <v>6.805141131314385E-2</v>
      </c>
      <c r="C1069" s="3">
        <v>0.14452858461661977</v>
      </c>
      <c r="D1069" s="3">
        <v>-0.38302342683054946</v>
      </c>
    </row>
    <row r="1070" spans="1:4" x14ac:dyDescent="0.35">
      <c r="A1070" s="5">
        <v>46037</v>
      </c>
      <c r="B1070" s="3">
        <v>6.4436810155866331E-2</v>
      </c>
      <c r="C1070" s="3">
        <v>0.14737166022236203</v>
      </c>
      <c r="D1070" s="3">
        <v>-0.37125748502994005</v>
      </c>
    </row>
    <row r="1071" spans="1:4" x14ac:dyDescent="0.35">
      <c r="A1071" s="5">
        <v>46038</v>
      </c>
      <c r="B1071" s="3">
        <v>5.8164388633380693E-2</v>
      </c>
      <c r="C1071" s="3">
        <v>0.14575277952450394</v>
      </c>
      <c r="D1071" s="3">
        <v>-0.3656896732850089</v>
      </c>
    </row>
    <row r="1072" spans="1:4" x14ac:dyDescent="0.35">
      <c r="A1072" s="5">
        <v>46041</v>
      </c>
      <c r="B1072" s="3">
        <v>4.8262647456795538E-2</v>
      </c>
      <c r="C1072" s="3">
        <v>0.14547850634842052</v>
      </c>
      <c r="D1072" s="3">
        <v>-0.37524950099800403</v>
      </c>
    </row>
    <row r="1073" spans="1:4" x14ac:dyDescent="0.35">
      <c r="A1073" s="5">
        <v>46042</v>
      </c>
      <c r="B1073" s="3">
        <v>4.8259036518908616E-2</v>
      </c>
      <c r="C1073" s="3">
        <v>0.14547850634842052</v>
      </c>
      <c r="D1073" s="3">
        <v>-0.37524950099800403</v>
      </c>
    </row>
    <row r="1074" spans="1:4" x14ac:dyDescent="0.35">
      <c r="A1074" s="5">
        <v>46043</v>
      </c>
      <c r="B1074" s="3">
        <v>5.7770879142535536E-2</v>
      </c>
      <c r="C1074" s="3">
        <v>0.14111689388972892</v>
      </c>
      <c r="D1074" s="3">
        <v>-0.37283328080680744</v>
      </c>
    </row>
    <row r="1075" spans="1:4" x14ac:dyDescent="0.35">
      <c r="A1075" s="5">
        <v>46044</v>
      </c>
      <c r="B1075" s="3">
        <v>5.2664804398156129E-2</v>
      </c>
      <c r="C1075" s="3">
        <v>0.14869619897515496</v>
      </c>
      <c r="D1075" s="3">
        <v>-0.37136253808173125</v>
      </c>
    </row>
    <row r="1076" spans="1:4" x14ac:dyDescent="0.35">
      <c r="A1076" s="5">
        <v>46045</v>
      </c>
      <c r="B1076" s="3">
        <v>5.7135638741747874E-2</v>
      </c>
      <c r="C1076" s="3">
        <v>0.15060273202841756</v>
      </c>
      <c r="D1076" s="3">
        <v>-0.38176279020905557</v>
      </c>
    </row>
    <row r="1077" spans="1:4" x14ac:dyDescent="0.35">
      <c r="A1077" s="5">
        <v>46048</v>
      </c>
      <c r="B1077" s="3">
        <v>5.7496237166728692E-2</v>
      </c>
      <c r="C1077" s="3">
        <v>0.16671126393107061</v>
      </c>
      <c r="D1077" s="3">
        <v>-0.39279336064712678</v>
      </c>
    </row>
    <row r="1078" spans="1:4" x14ac:dyDescent="0.35">
      <c r="A1078" s="5">
        <v>46049</v>
      </c>
      <c r="B1078" s="3">
        <v>6.2398803149023463E-2</v>
      </c>
      <c r="C1078" s="3">
        <v>0.18489356862850048</v>
      </c>
      <c r="D1078" s="3">
        <v>-0.38953671604160101</v>
      </c>
    </row>
    <row r="1079" spans="1:4" x14ac:dyDescent="0.35">
      <c r="A1079" s="5">
        <v>46050</v>
      </c>
      <c r="B1079" s="3">
        <v>6.2395166026820936E-2</v>
      </c>
      <c r="C1079" s="3">
        <v>0.1750197342894988</v>
      </c>
      <c r="D1079" s="3">
        <v>-0.40403403718878039</v>
      </c>
    </row>
    <row r="1080" spans="1:4" x14ac:dyDescent="0.35">
      <c r="A1080" s="5">
        <v>46051</v>
      </c>
      <c r="B1080" s="3">
        <v>4.2766768819322731E-2</v>
      </c>
      <c r="C1080" s="3">
        <v>0.15789438475843909</v>
      </c>
      <c r="D1080" s="3">
        <v>-0.40960184893371143</v>
      </c>
    </row>
    <row r="1081" spans="1:4" x14ac:dyDescent="0.35">
      <c r="A1081" s="5">
        <v>46052</v>
      </c>
      <c r="B1081" s="3">
        <v>4.7669374051138025E-2</v>
      </c>
      <c r="C1081" s="3">
        <v>0.16457728482934875</v>
      </c>
      <c r="D1081" s="3">
        <v>-0.40928668977833804</v>
      </c>
    </row>
    <row r="1082" spans="1:4" x14ac:dyDescent="0.35">
      <c r="A1082" s="5">
        <v>46055</v>
      </c>
      <c r="B1082" s="3">
        <v>4.8009392644375648E-2</v>
      </c>
      <c r="C1082" s="3">
        <v>0.16457728482934875</v>
      </c>
      <c r="D1082" s="3">
        <v>-0.40928668977833804</v>
      </c>
    </row>
    <row r="1083" spans="1:4" x14ac:dyDescent="0.35">
      <c r="A1083" s="5">
        <v>46056</v>
      </c>
      <c r="B1083" s="3">
        <v>5.7818161731167717E-2</v>
      </c>
      <c r="C1083" s="3">
        <v>0.16951420199884937</v>
      </c>
      <c r="D1083" s="3">
        <v>-0.40287845361907759</v>
      </c>
    </row>
    <row r="1084" spans="1:4" x14ac:dyDescent="0.35">
      <c r="A1084" s="5">
        <v>46057</v>
      </c>
      <c r="B1084" s="3">
        <v>4.3095941461820164E-2</v>
      </c>
      <c r="C1084" s="3">
        <v>0.16587506522349926</v>
      </c>
      <c r="D1084" s="3">
        <v>-0.41149280386595222</v>
      </c>
    </row>
    <row r="1085" spans="1:4" x14ac:dyDescent="0.35">
      <c r="A1085" s="5">
        <v>46058</v>
      </c>
      <c r="B1085" s="3">
        <v>-6.0519324747592251E-2</v>
      </c>
      <c r="C1085" s="3">
        <v>0.15798134942402631</v>
      </c>
      <c r="D1085" s="3">
        <v>-0.43376405084567704</v>
      </c>
    </row>
    <row r="1086" spans="1:4" x14ac:dyDescent="0.35">
      <c r="A1086" s="5">
        <v>46059</v>
      </c>
      <c r="B1086" s="3">
        <v>-7.0989186585791009E-2</v>
      </c>
      <c r="C1086" s="3">
        <v>0.1591921651525896</v>
      </c>
      <c r="D1086" s="3">
        <v>-0.4383863851244878</v>
      </c>
    </row>
    <row r="1087" spans="1:4" x14ac:dyDescent="0.35">
      <c r="A1087" s="5">
        <v>46062</v>
      </c>
      <c r="B1087" s="3">
        <v>5.5177009186194947E-2</v>
      </c>
      <c r="C1087" s="3">
        <v>0.17154783725566269</v>
      </c>
      <c r="D1087" s="3">
        <v>-0.41758588086983928</v>
      </c>
    </row>
    <row r="1088" spans="1:4" x14ac:dyDescent="0.35">
      <c r="A1088" s="5">
        <v>46063</v>
      </c>
      <c r="B1088" s="3">
        <v>3.4240294639677371E-2</v>
      </c>
      <c r="C1088" s="3">
        <v>0.16903255154328845</v>
      </c>
      <c r="D1088" s="3">
        <v>-0.41863641138775076</v>
      </c>
    </row>
    <row r="1089" spans="1:4" x14ac:dyDescent="0.35">
      <c r="A1089" s="5">
        <v>46064</v>
      </c>
      <c r="B1089" s="3">
        <v>6.5636325986641264E-2</v>
      </c>
      <c r="C1089" s="3">
        <v>0.17495283839289311</v>
      </c>
      <c r="D1089" s="3">
        <v>-0.41916167664670656</v>
      </c>
    </row>
    <row r="1090" spans="1:4" x14ac:dyDescent="0.35">
      <c r="A1090" s="5">
        <v>46065</v>
      </c>
      <c r="B1090" s="3">
        <v>6.5632662698092092E-2</v>
      </c>
      <c r="C1090" s="3">
        <v>0.17124680572093709</v>
      </c>
      <c r="D1090" s="3">
        <v>-0.41895157054312426</v>
      </c>
    </row>
    <row r="1091" spans="1:4" x14ac:dyDescent="0.35">
      <c r="A1091" s="5">
        <v>46066</v>
      </c>
      <c r="B1091" s="3">
        <v>4.9929191341306245E-2</v>
      </c>
      <c r="C1091" s="3">
        <v>0.16368087981483215</v>
      </c>
      <c r="D1091" s="3">
        <v>-0.4264103372202962</v>
      </c>
    </row>
    <row r="1092" spans="1:4" x14ac:dyDescent="0.35">
      <c r="A1092" s="5">
        <v>46069</v>
      </c>
      <c r="B1092" s="3">
        <v>9.9541325942091863E-2</v>
      </c>
      <c r="C1092" s="3">
        <v>0.16483148923645041</v>
      </c>
      <c r="D1092" s="3">
        <v>-0.42451938228805541</v>
      </c>
    </row>
    <row r="1093" spans="1:4" x14ac:dyDescent="0.35">
      <c r="A1093" s="5">
        <v>46070</v>
      </c>
      <c r="B1093" s="3">
        <v>9.9537599799196075E-2</v>
      </c>
      <c r="C1093" s="3">
        <v>0.16483148923645041</v>
      </c>
      <c r="D1093" s="3">
        <v>-0.42451938228805541</v>
      </c>
    </row>
    <row r="1094" spans="1:4" x14ac:dyDescent="0.35">
      <c r="A1094" s="5">
        <v>46071</v>
      </c>
      <c r="B1094" s="3">
        <v>9.9533873656300287E-2</v>
      </c>
      <c r="C1094" s="3">
        <v>0.16483148923645041</v>
      </c>
      <c r="D1094" s="3">
        <v>-0.42451938228805541</v>
      </c>
    </row>
    <row r="1095" spans="1:4" x14ac:dyDescent="0.35">
      <c r="A1095" s="5">
        <v>46072</v>
      </c>
      <c r="B1095" s="3">
        <v>0.1045149540628818</v>
      </c>
      <c r="C1095" s="3">
        <v>0.17208969401816887</v>
      </c>
      <c r="D1095" s="3">
        <v>-0.41170290996953463</v>
      </c>
    </row>
    <row r="1096" spans="1:4" x14ac:dyDescent="0.35">
      <c r="A1096" s="5">
        <v>46073</v>
      </c>
      <c r="B1096" s="3">
        <v>8.4571989260060931E-2</v>
      </c>
      <c r="C1096" s="3">
        <v>0.17257134447373002</v>
      </c>
      <c r="D1096" s="3">
        <v>-0.41884651749133306</v>
      </c>
    </row>
    <row r="1097" spans="1:4" x14ac:dyDescent="0.35">
      <c r="A1097" s="5">
        <v>46076</v>
      </c>
      <c r="B1097" s="3">
        <v>7.9576153826092844E-2</v>
      </c>
      <c r="C1097" s="3">
        <v>0.17601648314892371</v>
      </c>
      <c r="D1097" s="3">
        <v>-0.41327870574640191</v>
      </c>
    </row>
    <row r="1098" spans="1:4" x14ac:dyDescent="0.35">
      <c r="A1098" s="5">
        <v>46077</v>
      </c>
      <c r="B1098" s="3">
        <v>5.963326379537004E-2</v>
      </c>
      <c r="C1098" s="3">
        <v>0.17336071605367742</v>
      </c>
      <c r="D1098" s="3">
        <v>-0.4145393423678958</v>
      </c>
    </row>
    <row r="1099" spans="1:4" x14ac:dyDescent="0.35">
      <c r="A1099" s="5">
        <v>46078</v>
      </c>
      <c r="B1099" s="3">
        <v>5.4644843261144382E-2</v>
      </c>
      <c r="C1099" s="3">
        <v>0.16921317046412376</v>
      </c>
      <c r="D1099" s="3">
        <v>-0.41401407710894</v>
      </c>
    </row>
    <row r="1100" spans="1:4" x14ac:dyDescent="0.35">
      <c r="A1100" s="5">
        <v>46079</v>
      </c>
      <c r="B1100" s="3">
        <v>4.9656435188935255E-2</v>
      </c>
      <c r="C1100" s="3">
        <v>0.16461742236731203</v>
      </c>
      <c r="D1100" s="3">
        <v>-0.41622019119655429</v>
      </c>
    </row>
    <row r="1101" spans="1:4" x14ac:dyDescent="0.35">
      <c r="A1101" s="5">
        <v>46080</v>
      </c>
      <c r="B1101" s="3">
        <v>6.9592072326128518E-2</v>
      </c>
      <c r="C1101" s="3">
        <v>0.14834165072314476</v>
      </c>
      <c r="D1101" s="3">
        <v>-0.41306859964281961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9FBC-DBC1-4DA2-B75E-03B3E4DB2801}">
  <sheetPr codeName="Sheet5"/>
  <dimension ref="A1:T9"/>
  <sheetViews>
    <sheetView zoomScale="85" zoomScaleNormal="85" workbookViewId="0">
      <selection activeCell="H16" sqref="H16"/>
    </sheetView>
  </sheetViews>
  <sheetFormatPr defaultColWidth="8.7265625" defaultRowHeight="20.149999999999999" customHeight="1" x14ac:dyDescent="0.35"/>
  <cols>
    <col min="1" max="2" width="15.54296875" style="23" customWidth="1"/>
    <col min="3" max="3" width="17" style="23" customWidth="1"/>
    <col min="4" max="9" width="16.54296875" customWidth="1"/>
    <col min="10" max="10" width="15.54296875" style="23" customWidth="1"/>
    <col min="11" max="11" width="18.54296875" style="23" customWidth="1"/>
    <col min="12" max="16" width="18.7265625" style="23" customWidth="1"/>
    <col min="17" max="17" width="26.26953125" style="23" bestFit="1" customWidth="1"/>
    <col min="18" max="18" width="22.453125" style="23" bestFit="1" customWidth="1"/>
    <col min="19" max="19" width="22.26953125" style="23" customWidth="1"/>
    <col min="20" max="20" width="9.1796875" customWidth="1"/>
    <col min="21" max="16384" width="8.7265625" style="23"/>
  </cols>
  <sheetData>
    <row r="1" spans="1:20" ht="20.149999999999999" customHeight="1" x14ac:dyDescent="0.35">
      <c r="A1" s="23" t="s">
        <v>147</v>
      </c>
      <c r="B1" s="23" t="s">
        <v>144</v>
      </c>
      <c r="C1" s="23" t="s">
        <v>145</v>
      </c>
      <c r="D1" s="23" t="s">
        <v>150</v>
      </c>
      <c r="E1" s="23" t="s">
        <v>65</v>
      </c>
      <c r="F1" s="23" t="s">
        <v>170</v>
      </c>
      <c r="G1" s="23" t="s">
        <v>171</v>
      </c>
      <c r="H1" s="23" t="s">
        <v>78</v>
      </c>
      <c r="I1" s="23" t="s">
        <v>172</v>
      </c>
      <c r="J1" s="23" t="s">
        <v>90</v>
      </c>
      <c r="K1" s="23" t="s">
        <v>101</v>
      </c>
      <c r="L1" s="23" t="s">
        <v>102</v>
      </c>
      <c r="M1" s="23" t="s">
        <v>103</v>
      </c>
      <c r="N1" s="23" t="s">
        <v>71</v>
      </c>
      <c r="O1" s="23" t="s">
        <v>104</v>
      </c>
      <c r="P1" s="23" t="s">
        <v>105</v>
      </c>
      <c r="Q1" s="23" t="s">
        <v>111</v>
      </c>
      <c r="R1" s="23" t="s">
        <v>109</v>
      </c>
      <c r="T1" s="23"/>
    </row>
    <row r="2" spans="1:20" ht="20.149999999999999" customHeight="1" x14ac:dyDescent="0.35">
      <c r="A2" s="23" t="str">
        <f>LEFT(InvProfile[[#This Row],[Account Type]],1)&amp;"A00"&amp;RIGHT(YEAR(InvProfile[[#This Row],[Issued Date]]),2)&amp;TEXT(MONTH(InvProfile[[#This Row],[Issued Date]]),"00")&amp;TEXT(DAY(InvProfile[[#This Row],[Issued Date]]),"00")</f>
        <v>DA00211213</v>
      </c>
      <c r="B2" s="23" t="s">
        <v>148</v>
      </c>
      <c r="C2" s="23" t="s">
        <v>66</v>
      </c>
      <c r="D2" s="23" t="s">
        <v>108</v>
      </c>
      <c r="E2" s="23">
        <v>265199.49939999997</v>
      </c>
      <c r="F2" s="23">
        <v>237370.97</v>
      </c>
      <c r="G2" s="23">
        <v>1.1125482866904799</v>
      </c>
      <c r="H2" s="23">
        <v>1917.07</v>
      </c>
      <c r="I2" s="23">
        <v>5436.59</v>
      </c>
      <c r="J2" s="48">
        <v>44543</v>
      </c>
      <c r="K2" s="23" t="s">
        <v>73</v>
      </c>
      <c r="L2" s="47" t="s">
        <v>74</v>
      </c>
      <c r="M2" s="23" t="s">
        <v>76</v>
      </c>
      <c r="N2" s="23" t="s">
        <v>70</v>
      </c>
      <c r="O2" s="23" t="s">
        <v>138</v>
      </c>
      <c r="P2" s="23" t="s">
        <v>113</v>
      </c>
      <c r="Q2" s="23" t="s">
        <v>114</v>
      </c>
      <c r="R2" s="23" t="s">
        <v>56</v>
      </c>
      <c r="T2" s="23"/>
    </row>
    <row r="3" spans="1:20" ht="20.149999999999999" customHeight="1" x14ac:dyDescent="0.35">
      <c r="A3" s="23" t="str">
        <f>LEFT(InvProfile[[#This Row],[Account Type]],1)&amp;"A00"&amp;RIGHT(YEAR(InvProfile[[#This Row],[Issued Date]]),2)&amp;TEXT(MONTH(InvProfile[[#This Row],[Issued Date]]),"00")&amp;TEXT(DAY(InvProfile[[#This Row],[Issued Date]]),"00")</f>
        <v>NA00230817</v>
      </c>
      <c r="B3" s="23" t="s">
        <v>149</v>
      </c>
      <c r="C3" s="23" t="s">
        <v>107</v>
      </c>
      <c r="D3" s="23" t="s">
        <v>151</v>
      </c>
      <c r="E3" s="23">
        <v>31256.330300000001</v>
      </c>
      <c r="F3" s="23">
        <v>30000</v>
      </c>
      <c r="G3" s="23">
        <v>1.1125482866904799</v>
      </c>
      <c r="H3" s="23">
        <v>0</v>
      </c>
      <c r="I3" s="23"/>
      <c r="J3" s="48">
        <v>45155</v>
      </c>
      <c r="K3" s="23" t="s">
        <v>116</v>
      </c>
      <c r="L3" s="47" t="s">
        <v>106</v>
      </c>
      <c r="M3" s="23" t="s">
        <v>76</v>
      </c>
      <c r="N3" s="23" t="s">
        <v>117</v>
      </c>
      <c r="O3" s="23" t="s">
        <v>118</v>
      </c>
      <c r="P3" s="23" t="s">
        <v>113</v>
      </c>
      <c r="Q3" s="23" t="s">
        <v>114</v>
      </c>
      <c r="R3" s="23" t="s">
        <v>56</v>
      </c>
      <c r="T3" s="23"/>
    </row>
    <row r="4" spans="1:20" ht="20.149999999999999" customHeight="1" x14ac:dyDescent="0.35">
      <c r="A4" s="23" t="str">
        <f>LEFT(InvProfile[[#This Row],[Account Type]],1)&amp;"A00"&amp;RIGHT(YEAR(InvProfile[[#This Row],[Issued Date]]),2)&amp;TEXT(MONTH(InvProfile[[#This Row],[Issued Date]]),"00")&amp;TEXT(DAY(InvProfile[[#This Row],[Issued Date]]),"00")</f>
        <v>DA00230814</v>
      </c>
      <c r="B4" s="23" t="s">
        <v>148</v>
      </c>
      <c r="C4" s="23" t="s">
        <v>99</v>
      </c>
      <c r="D4" s="23" t="s">
        <v>108</v>
      </c>
      <c r="E4" s="23">
        <v>39223.2618</v>
      </c>
      <c r="F4" s="23">
        <v>40000</v>
      </c>
      <c r="G4" s="23">
        <v>1.1125482866904799</v>
      </c>
      <c r="H4" s="23">
        <v>0</v>
      </c>
      <c r="I4" s="23"/>
      <c r="J4" s="48">
        <v>45152</v>
      </c>
      <c r="K4" s="23" t="s">
        <v>119</v>
      </c>
      <c r="L4" s="47" t="s">
        <v>120</v>
      </c>
      <c r="M4" s="23" t="s">
        <v>76</v>
      </c>
      <c r="N4" s="23" t="s">
        <v>121</v>
      </c>
      <c r="O4" s="23" t="s">
        <v>122</v>
      </c>
      <c r="P4" s="23" t="s">
        <v>113</v>
      </c>
      <c r="Q4" s="23" t="s">
        <v>114</v>
      </c>
      <c r="R4" s="23" t="s">
        <v>56</v>
      </c>
      <c r="T4" s="23"/>
    </row>
    <row r="5" spans="1:20" ht="20.149999999999999" customHeight="1" x14ac:dyDescent="0.35">
      <c r="A5" s="23" t="str">
        <f>LEFT(InvProfile[[#This Row],[Account Type]],1)&amp;"A00"&amp;RIGHT(YEAR(InvProfile[[#This Row],[Issued Date]]),2)&amp;TEXT(MONTH(InvProfile[[#This Row],[Issued Date]]),"00")&amp;TEXT(DAY(InvProfile[[#This Row],[Issued Date]]),"00")</f>
        <v>NA00230818</v>
      </c>
      <c r="B5" s="23" t="s">
        <v>149</v>
      </c>
      <c r="C5" s="23" t="s">
        <v>107</v>
      </c>
      <c r="D5" s="23" t="s">
        <v>152</v>
      </c>
      <c r="E5" s="23">
        <v>176104.2536</v>
      </c>
      <c r="F5" s="23">
        <v>180000</v>
      </c>
      <c r="G5" s="23">
        <v>1.1125482866904799</v>
      </c>
      <c r="H5" s="23">
        <v>0</v>
      </c>
      <c r="I5" s="23"/>
      <c r="J5" s="48">
        <v>45156</v>
      </c>
      <c r="K5" s="23" t="s">
        <v>116</v>
      </c>
      <c r="L5" s="47" t="s">
        <v>106</v>
      </c>
      <c r="M5" s="23" t="s">
        <v>76</v>
      </c>
      <c r="N5" s="23" t="s">
        <v>117</v>
      </c>
      <c r="O5" s="23" t="s">
        <v>118</v>
      </c>
      <c r="P5" s="23" t="s">
        <v>113</v>
      </c>
      <c r="Q5" s="23" t="s">
        <v>114</v>
      </c>
      <c r="R5" s="23" t="s">
        <v>56</v>
      </c>
      <c r="T5" s="23"/>
    </row>
    <row r="6" spans="1:20" ht="20.149999999999999" customHeight="1" x14ac:dyDescent="0.35">
      <c r="A6" s="23" t="str">
        <f>LEFT(InvProfile[[#This Row],[Account Type]],1)&amp;"A00"&amp;RIGHT(YEAR(InvProfile[[#This Row],[Issued Date]]),2)&amp;TEXT(MONTH(InvProfile[[#This Row],[Issued Date]]),"00")&amp;TEXT(DAY(InvProfile[[#This Row],[Issued Date]]),"00")</f>
        <v>DA00231102</v>
      </c>
      <c r="B6" s="23" t="s">
        <v>148</v>
      </c>
      <c r="C6" s="23" t="s">
        <v>100</v>
      </c>
      <c r="D6" s="23" t="s">
        <v>108</v>
      </c>
      <c r="E6" s="23">
        <v>99388.358999999997</v>
      </c>
      <c r="F6" s="23">
        <v>100000</v>
      </c>
      <c r="G6" s="23">
        <v>1.1125482866904799</v>
      </c>
      <c r="H6" s="23">
        <v>0</v>
      </c>
      <c r="I6" s="23">
        <v>2037.46</v>
      </c>
      <c r="J6" s="48">
        <v>45232</v>
      </c>
      <c r="K6" s="23" t="s">
        <v>123</v>
      </c>
      <c r="L6" s="23" t="s">
        <v>108</v>
      </c>
      <c r="M6" s="23" t="s">
        <v>168</v>
      </c>
      <c r="N6" s="23" t="s">
        <v>108</v>
      </c>
      <c r="O6" s="23" t="s">
        <v>108</v>
      </c>
      <c r="P6" s="23" t="s">
        <v>115</v>
      </c>
      <c r="Q6" s="23" t="s">
        <v>112</v>
      </c>
      <c r="R6" s="23" t="s">
        <v>110</v>
      </c>
      <c r="T6" s="23"/>
    </row>
    <row r="7" spans="1:20" ht="20.149999999999999" customHeight="1" x14ac:dyDescent="0.35">
      <c r="A7" s="23" t="str">
        <f>LEFT(InvProfile[[#This Row],[Account Type]],1)&amp;"A00"&amp;RIGHT(YEAR(InvProfile[[#This Row],[Issued Date]]),2)&amp;TEXT(MONTH(InvProfile[[#This Row],[Issued Date]]),"00")&amp;TEXT(DAY(InvProfile[[#This Row],[Issued Date]]),"00")</f>
        <v>JA00250407</v>
      </c>
      <c r="B7" s="23" t="s">
        <v>182</v>
      </c>
      <c r="C7" s="23" t="s">
        <v>181</v>
      </c>
      <c r="D7" s="49" t="s">
        <v>187</v>
      </c>
      <c r="E7" s="23">
        <v>55067.720300000001</v>
      </c>
      <c r="F7" s="23">
        <v>45000</v>
      </c>
      <c r="G7" s="23">
        <v>1.1125482866904799</v>
      </c>
      <c r="H7" s="23">
        <v>0</v>
      </c>
      <c r="I7" s="23"/>
      <c r="J7" s="48">
        <v>45754</v>
      </c>
      <c r="K7" s="23" t="s">
        <v>124</v>
      </c>
      <c r="L7" s="47" t="s">
        <v>125</v>
      </c>
      <c r="M7" s="23" t="s">
        <v>76</v>
      </c>
      <c r="N7" s="23" t="s">
        <v>126</v>
      </c>
      <c r="O7" s="23" t="s">
        <v>127</v>
      </c>
      <c r="P7" s="23" t="s">
        <v>115</v>
      </c>
      <c r="Q7" s="23" t="s">
        <v>112</v>
      </c>
      <c r="R7" s="23" t="s">
        <v>110</v>
      </c>
      <c r="T7" s="23"/>
    </row>
    <row r="8" spans="1:20" ht="20.149999999999999" customHeight="1" x14ac:dyDescent="0.35">
      <c r="A8" s="23" t="str">
        <f>LEFT(InvProfile[[#This Row],[Account Type]],1)&amp;"A00"&amp;RIGHT(YEAR(InvProfile[[#This Row],[Issued Date]]),2)&amp;TEXT(MONTH(InvProfile[[#This Row],[Issued Date]]),"00")&amp;TEXT(DAY(InvProfile[[#This Row],[Issued Date]]),"00")</f>
        <v>DA00231129</v>
      </c>
      <c r="B8" s="23" t="s">
        <v>148</v>
      </c>
      <c r="C8" s="23" t="s">
        <v>173</v>
      </c>
      <c r="D8" s="23" t="s">
        <v>108</v>
      </c>
      <c r="E8" s="23">
        <v>4413.0509000000002</v>
      </c>
      <c r="F8" s="23">
        <v>5000</v>
      </c>
      <c r="G8" s="23">
        <v>1.1125482866904799</v>
      </c>
      <c r="H8" s="23">
        <v>0</v>
      </c>
      <c r="I8" s="23"/>
      <c r="J8" s="48">
        <v>45259</v>
      </c>
      <c r="K8" s="23" t="s">
        <v>73</v>
      </c>
      <c r="L8" s="47" t="s">
        <v>174</v>
      </c>
      <c r="M8" s="23" t="s">
        <v>76</v>
      </c>
      <c r="N8" s="23" t="s">
        <v>70</v>
      </c>
      <c r="O8" s="23" t="s">
        <v>138</v>
      </c>
      <c r="P8" s="23" t="s">
        <v>113</v>
      </c>
      <c r="Q8" s="23" t="s">
        <v>114</v>
      </c>
      <c r="R8" s="23" t="s">
        <v>56</v>
      </c>
      <c r="T8" s="23"/>
    </row>
    <row r="9" spans="1:20" ht="20.149999999999999" customHeight="1" x14ac:dyDescent="0.35">
      <c r="A9" s="23" t="str">
        <f>LEFT(InvProfile[[#This Row],[Account Type]],1)&amp;"A00"&amp;RIGHT(YEAR(InvProfile[[#This Row],[Issued Date]]),2)&amp;TEXT(MONTH(InvProfile[[#This Row],[Issued Date]]),"00")&amp;TEXT(DAY(InvProfile[[#This Row],[Issued Date]]),"00")</f>
        <v>DA00260313</v>
      </c>
      <c r="B9" s="23" t="s">
        <v>148</v>
      </c>
      <c r="C9" s="23" t="s">
        <v>107</v>
      </c>
      <c r="D9" s="23" t="s">
        <v>108</v>
      </c>
      <c r="E9" s="23">
        <v>38228.080800000003</v>
      </c>
      <c r="F9" s="23">
        <v>38000</v>
      </c>
      <c r="G9" s="23">
        <v>0.99403368366474099</v>
      </c>
      <c r="H9" s="23">
        <v>0</v>
      </c>
      <c r="I9" s="23">
        <v>0</v>
      </c>
      <c r="J9" s="48">
        <v>46094</v>
      </c>
      <c r="K9" s="23" t="s">
        <v>116</v>
      </c>
      <c r="L9" s="47" t="s">
        <v>106</v>
      </c>
      <c r="M9" s="23" t="s">
        <v>76</v>
      </c>
      <c r="N9" s="23" t="s">
        <v>117</v>
      </c>
      <c r="O9" s="23" t="s">
        <v>118</v>
      </c>
      <c r="P9" s="23" t="s">
        <v>113</v>
      </c>
      <c r="Q9" s="23" t="s">
        <v>114</v>
      </c>
      <c r="R9" s="23" t="s">
        <v>56</v>
      </c>
    </row>
  </sheetData>
  <phoneticPr fontId="16" type="noConversion"/>
  <conditionalFormatting sqref="A2:A9">
    <cfRule type="duplicateValues" dxfId="0" priority="2"/>
  </conditionalFormatting>
  <hyperlinks>
    <hyperlink ref="L2" r:id="rId1" xr:uid="{6B6B4D16-A71D-4DC7-A1FA-8266185197EF}"/>
    <hyperlink ref="L5" r:id="rId2" xr:uid="{0467AA0B-4104-438E-926A-2EECCE76161A}"/>
    <hyperlink ref="L3" r:id="rId3" xr:uid="{81F96A5F-7664-4A17-923A-92F693245245}"/>
    <hyperlink ref="L4" r:id="rId4" xr:uid="{3BB29F62-2780-4236-BD93-486E2E79F1F2}"/>
    <hyperlink ref="L7" r:id="rId5" xr:uid="{E415E62E-668A-4609-A36F-B0274C38C8E4}"/>
    <hyperlink ref="L8" r:id="rId6" xr:uid="{0B43EDD9-B087-4597-B01E-97ED88CCD7C4}"/>
    <hyperlink ref="L9" r:id="rId7" xr:uid="{C7D73411-BB82-411D-8AA8-B17485894729}"/>
  </hyperlinks>
  <pageMargins left="0.7" right="0.7" top="0.75" bottom="0.75" header="0.3" footer="0.3"/>
  <tableParts count="1">
    <tablePart r:id="rId8"/>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6B9F-A96A-489A-BC46-4751B2C3A36D}">
  <sheetPr codeName="Sheet3">
    <tabColor rgb="FF0070C0"/>
    <pageSetUpPr fitToPage="1"/>
  </sheetPr>
  <dimension ref="A1:S57"/>
  <sheetViews>
    <sheetView showGridLines="0" showWhiteSpace="0" view="pageLayout" zoomScale="130" zoomScaleNormal="145" zoomScaleSheetLayoutView="130" zoomScalePageLayoutView="130" workbookViewId="0">
      <selection activeCell="L6" sqref="L6"/>
    </sheetView>
  </sheetViews>
  <sheetFormatPr defaultRowHeight="14.5" x14ac:dyDescent="0.35"/>
  <cols>
    <col min="1" max="9" width="5.81640625" customWidth="1"/>
    <col min="10" max="10" width="1.7265625" customWidth="1"/>
    <col min="11" max="19" width="5.81640625" customWidth="1"/>
    <col min="20" max="24" width="5.7265625" customWidth="1"/>
  </cols>
  <sheetData>
    <row r="1" spans="1:19" x14ac:dyDescent="0.35">
      <c r="A1" s="94" t="e" vm="1">
        <v>#VALUE!</v>
      </c>
      <c r="B1" s="94"/>
    </row>
    <row r="2" spans="1:19" x14ac:dyDescent="0.35">
      <c r="A2" s="94"/>
      <c r="B2" s="94"/>
    </row>
    <row r="3" spans="1:19" x14ac:dyDescent="0.35">
      <c r="A3" s="94"/>
      <c r="B3" s="94"/>
    </row>
    <row r="4" spans="1:19" x14ac:dyDescent="0.35">
      <c r="A4" s="94"/>
      <c r="B4" s="94"/>
      <c r="O4" s="5"/>
      <c r="P4" s="5"/>
      <c r="Q4" s="5"/>
      <c r="R4" s="5"/>
    </row>
    <row r="5" spans="1:19" ht="5.15" customHeight="1" x14ac:dyDescent="0.35"/>
    <row r="6" spans="1:19" ht="22.5" customHeight="1" x14ac:dyDescent="0.35">
      <c r="A6" s="98" t="s">
        <v>55</v>
      </c>
      <c r="B6" s="98"/>
      <c r="C6" s="98"/>
      <c r="D6" s="98"/>
      <c r="E6" s="98"/>
      <c r="F6" s="98"/>
      <c r="G6" s="98"/>
      <c r="P6" s="97">
        <v>46054</v>
      </c>
      <c r="Q6" s="97"/>
      <c r="R6" s="97"/>
      <c r="S6" s="97"/>
    </row>
    <row r="7" spans="1:19" ht="5.15" customHeight="1" x14ac:dyDescent="0.35"/>
    <row r="8" spans="1:19" x14ac:dyDescent="0.35">
      <c r="A8" s="95" t="s">
        <v>143</v>
      </c>
      <c r="B8" s="96"/>
      <c r="C8" s="96"/>
      <c r="D8" s="96"/>
      <c r="E8" s="96"/>
      <c r="F8" s="96"/>
      <c r="G8" s="96"/>
      <c r="H8" s="96"/>
      <c r="I8" s="96"/>
      <c r="J8" s="96"/>
      <c r="K8" s="96"/>
      <c r="L8" s="96"/>
      <c r="M8" s="96"/>
      <c r="N8" s="96"/>
      <c r="O8" s="96"/>
      <c r="P8" s="96"/>
      <c r="Q8" s="96"/>
      <c r="R8" s="96"/>
      <c r="S8" s="96"/>
    </row>
    <row r="9" spans="1:19" x14ac:dyDescent="0.35">
      <c r="A9" s="96"/>
      <c r="B9" s="96"/>
      <c r="C9" s="96"/>
      <c r="D9" s="96"/>
      <c r="E9" s="96"/>
      <c r="F9" s="96"/>
      <c r="G9" s="96"/>
      <c r="H9" s="96"/>
      <c r="I9" s="96"/>
      <c r="J9" s="96"/>
      <c r="K9" s="96"/>
      <c r="L9" s="96"/>
      <c r="M9" s="96"/>
      <c r="N9" s="96"/>
      <c r="O9" s="96"/>
      <c r="P9" s="96"/>
      <c r="Q9" s="96"/>
      <c r="R9" s="96"/>
      <c r="S9" s="96"/>
    </row>
    <row r="10" spans="1:19" ht="5.15" customHeight="1" x14ac:dyDescent="0.35"/>
    <row r="11" spans="1:19" x14ac:dyDescent="0.35">
      <c r="A11" s="99" t="str">
        <f>"Fund Details as at " &amp; TEXT(EOMONTH(P6,0),"dd mmmm yyy")</f>
        <v>Fund Details as at 28 February 2026</v>
      </c>
      <c r="B11" s="99"/>
      <c r="C11" s="99"/>
      <c r="D11" s="99"/>
      <c r="E11" s="99"/>
      <c r="F11" s="99"/>
      <c r="G11" s="99"/>
      <c r="H11" s="99"/>
      <c r="I11" s="99"/>
      <c r="K11" s="99" t="str">
        <f>"Sector Allocation* as at "&amp; TEXT(EOMONTH(P6,0),"dd MMMM yyy")</f>
        <v>Sector Allocation* as at 28 February 2026</v>
      </c>
      <c r="L11" s="99"/>
      <c r="M11" s="99"/>
      <c r="N11" s="99"/>
      <c r="O11" s="99"/>
      <c r="P11" s="99"/>
      <c r="Q11" s="99"/>
      <c r="R11" s="99"/>
      <c r="S11" s="99"/>
    </row>
    <row r="12" spans="1:19" x14ac:dyDescent="0.35">
      <c r="A12" s="56"/>
      <c r="B12" s="56"/>
      <c r="C12" s="56"/>
      <c r="D12" s="56"/>
      <c r="E12" s="56"/>
      <c r="F12" s="56"/>
      <c r="G12" s="56"/>
      <c r="H12" s="56"/>
      <c r="I12" s="56"/>
    </row>
    <row r="13" spans="1:19" x14ac:dyDescent="0.35">
      <c r="A13" s="56"/>
      <c r="B13" s="56"/>
      <c r="C13" s="56"/>
      <c r="D13" s="56"/>
      <c r="E13" s="56"/>
      <c r="F13" s="56"/>
      <c r="G13" s="56"/>
      <c r="H13" s="56"/>
      <c r="I13" s="56"/>
    </row>
    <row r="14" spans="1:19" x14ac:dyDescent="0.35">
      <c r="A14" s="56"/>
      <c r="B14" s="56"/>
      <c r="C14" s="56"/>
      <c r="D14" s="56"/>
      <c r="E14" s="56"/>
      <c r="F14" s="56"/>
      <c r="G14" s="56"/>
      <c r="H14" s="56"/>
      <c r="I14" s="56"/>
    </row>
    <row r="15" spans="1:19" x14ac:dyDescent="0.35">
      <c r="A15" s="56"/>
      <c r="B15" s="56"/>
      <c r="C15" s="56"/>
      <c r="D15" s="56"/>
      <c r="E15" s="56"/>
      <c r="F15" s="56"/>
      <c r="G15" s="56"/>
      <c r="H15" s="56"/>
      <c r="I15" s="56"/>
    </row>
    <row r="16" spans="1:19" x14ac:dyDescent="0.35">
      <c r="A16" s="56"/>
      <c r="B16" s="56"/>
      <c r="C16" s="56"/>
      <c r="D16" s="56"/>
      <c r="E16" s="56"/>
      <c r="F16" s="56"/>
      <c r="G16" s="56"/>
      <c r="H16" s="56"/>
      <c r="I16" s="56"/>
    </row>
    <row r="17" spans="1:19" x14ac:dyDescent="0.35">
      <c r="A17" s="56"/>
      <c r="B17" s="56"/>
      <c r="C17" s="56"/>
      <c r="D17" s="56"/>
      <c r="E17" s="56"/>
      <c r="F17" s="56"/>
      <c r="G17" s="56"/>
      <c r="H17" s="56"/>
      <c r="I17" s="56"/>
    </row>
    <row r="18" spans="1:19" x14ac:dyDescent="0.35">
      <c r="A18" s="56"/>
      <c r="B18" s="56"/>
      <c r="C18" s="56"/>
      <c r="D18" s="56"/>
      <c r="E18" s="56"/>
      <c r="F18" s="56"/>
      <c r="G18" s="56"/>
      <c r="H18" s="56"/>
      <c r="I18" s="56"/>
    </row>
    <row r="19" spans="1:19" x14ac:dyDescent="0.35">
      <c r="A19" s="56"/>
      <c r="B19" s="56"/>
      <c r="C19" s="56"/>
      <c r="D19" s="56"/>
      <c r="E19" s="56"/>
      <c r="F19" s="56"/>
      <c r="G19" s="56"/>
      <c r="H19" s="56"/>
      <c r="I19" s="56"/>
    </row>
    <row r="20" spans="1:19" x14ac:dyDescent="0.35">
      <c r="A20" s="56"/>
      <c r="B20" s="56"/>
      <c r="C20" s="56"/>
      <c r="D20" s="56"/>
      <c r="E20" s="56"/>
      <c r="F20" s="56"/>
      <c r="G20" s="56"/>
      <c r="H20" s="56"/>
      <c r="I20" s="56"/>
    </row>
    <row r="21" spans="1:19" x14ac:dyDescent="0.35">
      <c r="A21" s="56"/>
      <c r="B21" s="56"/>
      <c r="C21" s="56"/>
      <c r="D21" s="56"/>
      <c r="E21" s="56"/>
      <c r="F21" s="56"/>
      <c r="G21" s="56"/>
      <c r="H21" s="56"/>
      <c r="I21" s="56"/>
    </row>
    <row r="22" spans="1:19" x14ac:dyDescent="0.35">
      <c r="A22" s="56"/>
      <c r="B22" s="56"/>
      <c r="C22" s="56"/>
      <c r="D22" s="56"/>
      <c r="E22" s="56"/>
      <c r="F22" s="56"/>
      <c r="G22" s="56"/>
      <c r="H22" s="56"/>
      <c r="I22" s="56"/>
    </row>
    <row r="23" spans="1:19" x14ac:dyDescent="0.35">
      <c r="A23" s="56"/>
      <c r="B23" s="56"/>
      <c r="C23" s="56"/>
      <c r="D23" s="56"/>
      <c r="E23" s="56"/>
      <c r="F23" s="56"/>
      <c r="G23" s="56"/>
      <c r="H23" s="56"/>
      <c r="I23" s="56"/>
      <c r="K23" s="100" t="s">
        <v>22</v>
      </c>
      <c r="L23" s="100"/>
      <c r="M23" s="100"/>
      <c r="N23" s="100"/>
      <c r="O23" s="100"/>
      <c r="P23" s="100"/>
      <c r="Q23" s="100"/>
      <c r="R23" s="100"/>
      <c r="S23" s="100"/>
    </row>
    <row r="25" spans="1:19" x14ac:dyDescent="0.35">
      <c r="A25" s="99" t="s">
        <v>14</v>
      </c>
      <c r="B25" s="99"/>
      <c r="C25" s="99"/>
      <c r="D25" s="99"/>
      <c r="E25" s="99"/>
      <c r="F25" s="99"/>
      <c r="G25" s="99"/>
      <c r="H25" s="99"/>
      <c r="I25" s="99"/>
      <c r="K25" s="99" t="str">
        <f>"Portfolio Performance Analysis as at "&amp; TEXT(EOMONTH(P6,0),"dd mmmm yyy")</f>
        <v>Portfolio Performance Analysis as at 28 February 2026</v>
      </c>
      <c r="L25" s="99"/>
      <c r="M25" s="99"/>
      <c r="N25" s="99"/>
      <c r="O25" s="99"/>
      <c r="P25" s="99"/>
      <c r="Q25" s="99"/>
      <c r="R25" s="99"/>
      <c r="S25" s="99"/>
    </row>
    <row r="26" spans="1:19" ht="15" customHeight="1" x14ac:dyDescent="0.35">
      <c r="A26" s="101"/>
      <c r="B26" s="101"/>
      <c r="C26" s="101"/>
      <c r="D26" s="101"/>
      <c r="E26" s="101"/>
      <c r="F26" s="101"/>
      <c r="G26" s="101"/>
      <c r="H26" s="101"/>
      <c r="I26" s="101"/>
      <c r="K26" s="56"/>
      <c r="L26" s="56"/>
      <c r="M26" s="56"/>
      <c r="N26" s="56"/>
      <c r="O26" s="56"/>
      <c r="P26" s="56"/>
      <c r="Q26" s="56"/>
      <c r="R26" s="56"/>
      <c r="S26" s="56"/>
    </row>
    <row r="27" spans="1:19" x14ac:dyDescent="0.35">
      <c r="A27" s="101"/>
      <c r="B27" s="101"/>
      <c r="C27" s="101"/>
      <c r="D27" s="101"/>
      <c r="E27" s="101"/>
      <c r="F27" s="101"/>
      <c r="G27" s="101"/>
      <c r="H27" s="101"/>
      <c r="I27" s="101"/>
      <c r="K27" s="56"/>
      <c r="L27" s="56"/>
      <c r="M27" s="56"/>
      <c r="N27" s="56"/>
      <c r="O27" s="56"/>
      <c r="P27" s="56"/>
      <c r="Q27" s="56"/>
      <c r="R27" s="56"/>
      <c r="S27" s="56"/>
    </row>
    <row r="28" spans="1:19" x14ac:dyDescent="0.35">
      <c r="A28" s="101"/>
      <c r="B28" s="101"/>
      <c r="C28" s="101"/>
      <c r="D28" s="101"/>
      <c r="E28" s="101"/>
      <c r="F28" s="101"/>
      <c r="G28" s="101"/>
      <c r="H28" s="101"/>
      <c r="I28" s="101"/>
      <c r="K28" s="56"/>
      <c r="L28" s="56"/>
      <c r="M28" s="56"/>
      <c r="N28" s="56"/>
      <c r="O28" s="56"/>
      <c r="P28" s="56"/>
      <c r="Q28" s="56"/>
      <c r="R28" s="56"/>
      <c r="S28" s="56"/>
    </row>
    <row r="29" spans="1:19" x14ac:dyDescent="0.35">
      <c r="K29" s="56"/>
      <c r="L29" s="56"/>
      <c r="M29" s="56"/>
      <c r="N29" s="56"/>
      <c r="O29" s="56"/>
      <c r="P29" s="56"/>
      <c r="Q29" s="56"/>
      <c r="R29" s="56"/>
      <c r="S29" s="56"/>
    </row>
    <row r="30" spans="1:19" x14ac:dyDescent="0.35">
      <c r="K30" s="56"/>
      <c r="L30" s="56"/>
      <c r="M30" s="56"/>
      <c r="N30" s="56"/>
      <c r="O30" s="56"/>
      <c r="P30" s="56"/>
      <c r="Q30" s="56"/>
      <c r="R30" s="56"/>
      <c r="S30" s="56"/>
    </row>
    <row r="31" spans="1:19" x14ac:dyDescent="0.35">
      <c r="A31" s="99" t="s">
        <v>33</v>
      </c>
      <c r="B31" s="99"/>
      <c r="C31" s="99"/>
      <c r="D31" s="99"/>
      <c r="E31" s="99"/>
      <c r="F31" s="99"/>
      <c r="G31" s="99"/>
      <c r="H31" s="99"/>
      <c r="I31" s="99"/>
      <c r="K31" s="56"/>
      <c r="L31" s="56"/>
      <c r="M31" s="56"/>
      <c r="N31" s="56"/>
      <c r="O31" s="56"/>
      <c r="P31" s="56"/>
      <c r="Q31" s="56"/>
      <c r="R31" s="56"/>
      <c r="S31" s="56"/>
    </row>
    <row r="32" spans="1:19" x14ac:dyDescent="0.35">
      <c r="K32" s="56"/>
      <c r="L32" s="56"/>
      <c r="M32" s="56"/>
      <c r="N32" s="56"/>
      <c r="O32" s="56"/>
      <c r="P32" s="56"/>
      <c r="Q32" s="56"/>
      <c r="R32" s="56"/>
      <c r="S32" s="56"/>
    </row>
    <row r="33" spans="1:19" x14ac:dyDescent="0.35">
      <c r="K33" s="56"/>
      <c r="L33" s="56"/>
      <c r="M33" s="56"/>
      <c r="N33" s="56"/>
      <c r="O33" s="56"/>
      <c r="P33" s="56"/>
      <c r="Q33" s="56"/>
      <c r="R33" s="56"/>
      <c r="S33" s="56"/>
    </row>
    <row r="34" spans="1:19" x14ac:dyDescent="0.35">
      <c r="K34" s="56"/>
      <c r="L34" s="56"/>
      <c r="M34" s="56"/>
      <c r="N34" s="56"/>
      <c r="O34" s="56"/>
      <c r="P34" s="56"/>
      <c r="Q34" s="56"/>
      <c r="R34" s="56"/>
      <c r="S34" s="56"/>
    </row>
    <row r="35" spans="1:19" x14ac:dyDescent="0.35">
      <c r="K35" s="56"/>
      <c r="L35" s="56"/>
      <c r="M35" s="56"/>
      <c r="N35" s="56"/>
      <c r="O35" s="56"/>
      <c r="P35" s="56"/>
      <c r="Q35" s="56"/>
      <c r="R35" s="56"/>
      <c r="S35" s="56"/>
    </row>
    <row r="36" spans="1:19" x14ac:dyDescent="0.35">
      <c r="K36" s="56"/>
      <c r="L36" s="56"/>
      <c r="M36" s="56"/>
      <c r="N36" s="56"/>
      <c r="O36" s="56"/>
      <c r="P36" s="56"/>
      <c r="Q36" s="56"/>
      <c r="R36" s="56"/>
      <c r="S36" s="56"/>
    </row>
    <row r="38" spans="1:19" x14ac:dyDescent="0.35">
      <c r="A38" s="99" t="s">
        <v>44</v>
      </c>
      <c r="B38" s="99"/>
      <c r="C38" s="99"/>
      <c r="D38" s="99"/>
      <c r="E38" s="99"/>
      <c r="F38" s="99"/>
      <c r="G38" s="99"/>
      <c r="H38" s="99"/>
      <c r="I38" s="99"/>
    </row>
    <row r="39" spans="1:19" x14ac:dyDescent="0.35">
      <c r="A39" s="21"/>
      <c r="B39" s="21"/>
      <c r="C39" s="21"/>
      <c r="D39" s="21"/>
      <c r="E39" s="21"/>
      <c r="F39" s="21"/>
      <c r="G39" s="21"/>
      <c r="H39" s="21"/>
      <c r="I39" s="21"/>
    </row>
    <row r="40" spans="1:19" x14ac:dyDescent="0.35">
      <c r="A40" s="21"/>
      <c r="B40" s="21"/>
      <c r="C40" s="21"/>
      <c r="D40" s="21"/>
      <c r="E40" s="21"/>
      <c r="F40" s="21"/>
      <c r="G40" s="21"/>
      <c r="H40" s="21"/>
      <c r="I40" s="21"/>
    </row>
    <row r="41" spans="1:19" x14ac:dyDescent="0.35">
      <c r="A41" s="21"/>
      <c r="B41" s="21"/>
      <c r="C41" s="21"/>
      <c r="D41" s="21"/>
      <c r="E41" s="21"/>
      <c r="F41" s="21"/>
      <c r="G41" s="21"/>
      <c r="H41" s="21"/>
      <c r="I41" s="21"/>
    </row>
    <row r="42" spans="1:19" x14ac:dyDescent="0.35">
      <c r="A42" s="21"/>
      <c r="B42" s="21"/>
      <c r="C42" s="21"/>
      <c r="D42" s="21"/>
      <c r="E42" s="21"/>
      <c r="F42" s="21"/>
      <c r="G42" s="21"/>
      <c r="H42" s="21"/>
      <c r="I42" s="21"/>
      <c r="K42" s="99" t="str">
        <f>"Largest Holdings* as at "&amp; TEXT(EOMONTH(P6,0),"dd mmmm yyy")</f>
        <v>Largest Holdings* as at 28 February 2026</v>
      </c>
      <c r="L42" s="99"/>
      <c r="M42" s="99"/>
      <c r="N42" s="99"/>
      <c r="O42" s="99"/>
      <c r="P42" s="99"/>
      <c r="Q42" s="99"/>
      <c r="R42" s="99"/>
      <c r="S42" s="99"/>
    </row>
    <row r="43" spans="1:19" x14ac:dyDescent="0.35">
      <c r="A43" s="21"/>
      <c r="B43" s="21"/>
      <c r="C43" s="21"/>
      <c r="D43" s="21"/>
      <c r="E43" s="21"/>
      <c r="F43" s="21"/>
      <c r="G43" s="21"/>
      <c r="H43" s="21"/>
      <c r="I43" s="21"/>
      <c r="K43" s="107" t="s">
        <v>40</v>
      </c>
      <c r="L43" s="107"/>
      <c r="M43" s="107"/>
      <c r="N43" s="107"/>
      <c r="O43" s="107"/>
      <c r="P43" s="107"/>
      <c r="Q43" s="106" t="s">
        <v>18</v>
      </c>
      <c r="R43" s="106"/>
      <c r="S43" s="106"/>
    </row>
    <row r="44" spans="1:19" ht="15" customHeight="1" x14ac:dyDescent="0.35">
      <c r="A44" s="21"/>
      <c r="B44" s="21"/>
      <c r="C44" s="21"/>
      <c r="D44" s="21"/>
      <c r="E44" s="21"/>
      <c r="F44" s="21"/>
      <c r="G44" s="21"/>
      <c r="H44" s="21"/>
      <c r="I44" s="21"/>
      <c r="K44" s="103" t="s">
        <v>142</v>
      </c>
      <c r="L44" s="103"/>
      <c r="M44" s="103"/>
      <c r="N44" s="103"/>
      <c r="O44" s="103"/>
      <c r="P44" s="103"/>
      <c r="Q44" s="104">
        <v>0.76400000000000001</v>
      </c>
      <c r="R44" s="105"/>
      <c r="S44" s="105"/>
    </row>
    <row r="45" spans="1:19" x14ac:dyDescent="0.35">
      <c r="K45" s="103"/>
      <c r="L45" s="103"/>
      <c r="M45" s="103"/>
      <c r="N45" s="103"/>
      <c r="O45" s="103"/>
      <c r="P45" s="103"/>
      <c r="Q45" s="105"/>
      <c r="R45" s="105"/>
      <c r="S45" s="105"/>
    </row>
    <row r="46" spans="1:19" x14ac:dyDescent="0.35">
      <c r="K46" s="103"/>
      <c r="L46" s="103"/>
      <c r="M46" s="103"/>
      <c r="N46" s="103"/>
      <c r="O46" s="103"/>
      <c r="P46" s="103"/>
      <c r="Q46" s="105"/>
      <c r="R46" s="105"/>
      <c r="S46" s="105"/>
    </row>
    <row r="47" spans="1:19" x14ac:dyDescent="0.35">
      <c r="K47" s="95" t="s">
        <v>47</v>
      </c>
      <c r="L47" s="96"/>
      <c r="M47" s="96"/>
      <c r="N47" s="96"/>
      <c r="O47" s="96"/>
      <c r="P47" s="96"/>
      <c r="Q47" s="96"/>
      <c r="R47" s="96"/>
      <c r="S47" s="96"/>
    </row>
    <row r="48" spans="1:19" x14ac:dyDescent="0.35">
      <c r="K48" s="96"/>
      <c r="L48" s="96"/>
      <c r="M48" s="96"/>
      <c r="N48" s="96"/>
      <c r="O48" s="96"/>
      <c r="P48" s="96"/>
      <c r="Q48" s="96"/>
      <c r="R48" s="96"/>
      <c r="S48" s="96"/>
    </row>
    <row r="50" spans="1:19" x14ac:dyDescent="0.35">
      <c r="A50" s="20"/>
      <c r="B50" s="19"/>
      <c r="C50" s="19"/>
      <c r="D50" s="19"/>
      <c r="E50" s="19"/>
      <c r="F50" s="19"/>
      <c r="G50" s="19"/>
      <c r="H50" s="19"/>
      <c r="I50" s="19"/>
      <c r="J50" s="19"/>
      <c r="K50" s="19"/>
      <c r="L50" s="19"/>
      <c r="M50" s="19"/>
      <c r="N50" s="19"/>
      <c r="O50" s="19"/>
      <c r="P50" s="19"/>
      <c r="Q50" s="19"/>
      <c r="R50" s="19"/>
      <c r="S50" s="19"/>
    </row>
    <row r="51" spans="1:19" x14ac:dyDescent="0.35">
      <c r="A51" s="102" t="s">
        <v>43</v>
      </c>
      <c r="B51" s="102"/>
      <c r="C51" s="102"/>
    </row>
    <row r="52" spans="1:19" ht="15" customHeight="1" x14ac:dyDescent="0.35">
      <c r="A52" s="101" t="s">
        <v>48</v>
      </c>
      <c r="B52" s="101"/>
      <c r="C52" s="101"/>
      <c r="D52" s="101"/>
      <c r="E52" s="101"/>
      <c r="F52" s="101"/>
      <c r="G52" s="101"/>
      <c r="H52" s="101"/>
      <c r="I52" s="101"/>
      <c r="J52" s="101"/>
      <c r="K52" s="101"/>
      <c r="L52" s="101"/>
      <c r="M52" s="101"/>
      <c r="N52" s="101"/>
      <c r="O52" s="101"/>
      <c r="P52" s="101"/>
      <c r="Q52" s="101"/>
      <c r="R52" s="101"/>
      <c r="S52" s="101"/>
    </row>
    <row r="53" spans="1:19" x14ac:dyDescent="0.35">
      <c r="A53" s="101"/>
      <c r="B53" s="101"/>
      <c r="C53" s="101"/>
      <c r="D53" s="101"/>
      <c r="E53" s="101"/>
      <c r="F53" s="101"/>
      <c r="G53" s="101"/>
      <c r="H53" s="101"/>
      <c r="I53" s="101"/>
      <c r="J53" s="101"/>
      <c r="K53" s="101"/>
      <c r="L53" s="101"/>
      <c r="M53" s="101"/>
      <c r="N53" s="101"/>
      <c r="O53" s="101"/>
      <c r="P53" s="101"/>
      <c r="Q53" s="101"/>
      <c r="R53" s="101"/>
      <c r="S53" s="101"/>
    </row>
    <row r="54" spans="1:19" x14ac:dyDescent="0.35">
      <c r="A54" s="101"/>
      <c r="B54" s="101"/>
      <c r="C54" s="101"/>
      <c r="D54" s="101"/>
      <c r="E54" s="101"/>
      <c r="F54" s="101"/>
      <c r="G54" s="101"/>
      <c r="H54" s="101"/>
      <c r="I54" s="101"/>
      <c r="J54" s="101"/>
      <c r="K54" s="101"/>
      <c r="L54" s="101"/>
      <c r="M54" s="101"/>
      <c r="N54" s="101"/>
      <c r="O54" s="101"/>
      <c r="P54" s="101"/>
      <c r="Q54" s="101"/>
      <c r="R54" s="101"/>
      <c r="S54" s="101"/>
    </row>
    <row r="55" spans="1:19" x14ac:dyDescent="0.35">
      <c r="A55" s="101"/>
      <c r="B55" s="101"/>
      <c r="C55" s="101"/>
      <c r="D55" s="101"/>
      <c r="E55" s="101"/>
      <c r="F55" s="101"/>
      <c r="G55" s="101"/>
      <c r="H55" s="101"/>
      <c r="I55" s="101"/>
      <c r="J55" s="101"/>
      <c r="K55" s="101"/>
      <c r="L55" s="101"/>
      <c r="M55" s="101"/>
      <c r="N55" s="101"/>
      <c r="O55" s="101"/>
      <c r="P55" s="101"/>
      <c r="Q55" s="101"/>
      <c r="R55" s="101"/>
      <c r="S55" s="101"/>
    </row>
    <row r="56" spans="1:19" x14ac:dyDescent="0.35">
      <c r="A56" s="19"/>
      <c r="B56" s="19"/>
      <c r="C56" s="19"/>
      <c r="D56" s="19"/>
      <c r="E56" s="19"/>
      <c r="F56" s="19"/>
      <c r="G56" s="19"/>
      <c r="H56" s="19"/>
      <c r="I56" s="19"/>
      <c r="J56" s="19"/>
      <c r="K56" s="19"/>
      <c r="L56" s="19"/>
      <c r="M56" s="19"/>
      <c r="N56" s="19"/>
      <c r="O56" s="19"/>
      <c r="P56" s="19"/>
      <c r="Q56" s="19"/>
      <c r="R56" s="19"/>
      <c r="S56" s="19"/>
    </row>
    <row r="57" spans="1:19" x14ac:dyDescent="0.35">
      <c r="A57" s="65" t="s">
        <v>49</v>
      </c>
      <c r="B57" s="65"/>
      <c r="C57" s="65"/>
      <c r="D57" s="65"/>
      <c r="E57" s="65"/>
      <c r="F57" s="65"/>
      <c r="G57" s="66" t="s">
        <v>54</v>
      </c>
      <c r="H57" s="66"/>
      <c r="I57" s="66"/>
      <c r="J57" s="66"/>
      <c r="K57" s="66"/>
      <c r="L57" s="66"/>
      <c r="M57" s="66"/>
      <c r="N57" s="66"/>
      <c r="O57" s="66"/>
      <c r="P57" s="66"/>
      <c r="Q57" s="66"/>
      <c r="R57" s="66"/>
      <c r="S57" s="66"/>
    </row>
  </sheetData>
  <mergeCells count="24">
    <mergeCell ref="A57:F57"/>
    <mergeCell ref="G57:S57"/>
    <mergeCell ref="K23:S23"/>
    <mergeCell ref="K25:S25"/>
    <mergeCell ref="A11:I11"/>
    <mergeCell ref="A12:I23"/>
    <mergeCell ref="A52:S55"/>
    <mergeCell ref="A51:C51"/>
    <mergeCell ref="K44:P46"/>
    <mergeCell ref="Q44:S46"/>
    <mergeCell ref="K26:S36"/>
    <mergeCell ref="A25:I25"/>
    <mergeCell ref="K42:S42"/>
    <mergeCell ref="A26:I28"/>
    <mergeCell ref="Q43:S43"/>
    <mergeCell ref="K43:P43"/>
    <mergeCell ref="A1:B4"/>
    <mergeCell ref="A8:S9"/>
    <mergeCell ref="P6:S6"/>
    <mergeCell ref="A6:G6"/>
    <mergeCell ref="K47:S48"/>
    <mergeCell ref="A38:I38"/>
    <mergeCell ref="A31:I31"/>
    <mergeCell ref="K11:S11"/>
  </mergeCells>
  <printOptions horizontalCentered="1"/>
  <pageMargins left="0" right="0" top="0.11811023622047245" bottom="0.11811023622047245" header="3.937007874015748E-2" footer="3.937007874015748E-2"/>
  <pageSetup paperSize="9" scale="97" fitToWidth="0"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4A863-4527-4298-9DC7-6D676640409C}">
  <sheetPr codeName="Sheet6">
    <tabColor rgb="FF0070C0"/>
    <pageSetUpPr fitToPage="1"/>
  </sheetPr>
  <dimension ref="A1:AL35"/>
  <sheetViews>
    <sheetView showWhiteSpace="0" view="pageLayout" zoomScaleNormal="100" zoomScaleSheetLayoutView="100" workbookViewId="0">
      <selection activeCell="W15" sqref="W15:Y15"/>
    </sheetView>
  </sheetViews>
  <sheetFormatPr defaultColWidth="4.81640625" defaultRowHeight="15" customHeight="1" x14ac:dyDescent="0.35"/>
  <cols>
    <col min="1" max="18" width="5.7265625" customWidth="1"/>
    <col min="19" max="19" width="1.54296875" customWidth="1"/>
    <col min="20" max="37" width="5.7265625" customWidth="1"/>
    <col min="38" max="38" width="1.54296875" customWidth="1"/>
  </cols>
  <sheetData>
    <row r="1" spans="1:38" ht="15" customHeight="1" x14ac:dyDescent="0.35">
      <c r="A1" s="54" t="e" vm="1">
        <v>#VALUE!</v>
      </c>
      <c r="B1" s="54"/>
      <c r="C1" s="23"/>
      <c r="T1" s="54" t="e" vm="1">
        <v>#VALUE!</v>
      </c>
      <c r="U1" s="54"/>
      <c r="V1" s="23"/>
    </row>
    <row r="2" spans="1:38" ht="15" customHeight="1" x14ac:dyDescent="0.35">
      <c r="A2" s="54"/>
      <c r="B2" s="54"/>
      <c r="C2" s="23"/>
      <c r="T2" s="54"/>
      <c r="U2" s="54"/>
      <c r="V2" s="23"/>
    </row>
    <row r="3" spans="1:38" ht="15" customHeight="1" x14ac:dyDescent="0.35">
      <c r="A3" s="54"/>
      <c r="B3" s="54"/>
      <c r="C3" s="23"/>
      <c r="T3" s="54"/>
      <c r="U3" s="54"/>
      <c r="V3" s="23"/>
    </row>
    <row r="4" spans="1:38" ht="15" customHeight="1" x14ac:dyDescent="0.35">
      <c r="A4" s="54"/>
      <c r="B4" s="54"/>
      <c r="C4" s="23"/>
      <c r="T4" s="54"/>
      <c r="U4" s="54"/>
      <c r="V4" s="23"/>
    </row>
    <row r="5" spans="1:38" ht="15" customHeight="1" x14ac:dyDescent="0.35">
      <c r="K5" s="55" t="s">
        <v>91</v>
      </c>
      <c r="L5" s="55"/>
      <c r="M5" s="55"/>
      <c r="N5" s="55"/>
      <c r="O5" s="55"/>
      <c r="P5" s="55"/>
      <c r="Q5" s="55"/>
      <c r="R5" s="55"/>
      <c r="S5" s="55"/>
      <c r="AD5" s="55" t="s">
        <v>91</v>
      </c>
      <c r="AE5" s="55"/>
      <c r="AF5" s="55"/>
      <c r="AG5" s="55"/>
      <c r="AH5" s="55"/>
      <c r="AI5" s="55"/>
      <c r="AJ5" s="55"/>
      <c r="AK5" s="55"/>
      <c r="AL5" s="55"/>
    </row>
    <row r="6" spans="1:38" ht="15" customHeight="1" x14ac:dyDescent="0.35">
      <c r="K6" s="56"/>
      <c r="L6" s="56"/>
      <c r="M6" s="56"/>
      <c r="N6" s="56"/>
      <c r="O6" s="56"/>
      <c r="P6" s="56"/>
      <c r="Q6" s="56"/>
      <c r="R6" s="56"/>
      <c r="AD6" s="56"/>
      <c r="AE6" s="56"/>
      <c r="AF6" s="56"/>
      <c r="AG6" s="56"/>
      <c r="AH6" s="56"/>
      <c r="AI6" s="56"/>
      <c r="AJ6" s="56"/>
      <c r="AK6" s="56"/>
    </row>
    <row r="7" spans="1:38" ht="15" customHeight="1" x14ac:dyDescent="0.35">
      <c r="L7" s="53" t="s">
        <v>61</v>
      </c>
      <c r="M7" s="53"/>
      <c r="N7" s="53"/>
      <c r="O7" s="53" t="s">
        <v>89</v>
      </c>
      <c r="P7" s="53"/>
      <c r="Q7" s="53"/>
      <c r="R7" s="53"/>
      <c r="AE7" s="53" t="s">
        <v>61</v>
      </c>
      <c r="AF7" s="53"/>
      <c r="AG7" s="53"/>
      <c r="AH7" s="53" t="s">
        <v>92</v>
      </c>
      <c r="AI7" s="53"/>
      <c r="AJ7" s="53"/>
      <c r="AK7" s="53"/>
    </row>
    <row r="8" spans="1:38" ht="15" customHeight="1" x14ac:dyDescent="0.35">
      <c r="A8" s="52" t="str">
        <f>UPPER(RN)</f>
        <v>SIAH WOEI SIN  &amp;  SIAH WOEI PYNG</v>
      </c>
      <c r="B8" s="52"/>
      <c r="C8" s="52"/>
      <c r="D8" s="52"/>
      <c r="E8" s="52"/>
      <c r="F8" s="52"/>
      <c r="G8" s="52"/>
      <c r="H8" s="52"/>
      <c r="I8" s="24"/>
      <c r="L8" s="53" t="s">
        <v>90</v>
      </c>
      <c r="M8" s="53"/>
      <c r="N8" s="53"/>
      <c r="O8" s="53" t="str">
        <f ca="1">":  " &amp; TEXT(TODAY(),"dd-mm-yyy")</f>
        <v>:  19-07-2026</v>
      </c>
      <c r="P8" s="53"/>
      <c r="Q8" s="53"/>
      <c r="R8" s="53"/>
      <c r="T8" s="52" t="str">
        <f t="shared" ref="T8:T10" si="0">A8</f>
        <v>SIAH WOEI SIN  &amp;  SIAH WOEI PYNG</v>
      </c>
      <c r="U8" s="52"/>
      <c r="V8" s="52"/>
      <c r="W8" s="52"/>
      <c r="X8" s="52"/>
      <c r="Y8" s="52"/>
      <c r="Z8" s="52"/>
      <c r="AA8" s="52"/>
      <c r="AB8" s="24"/>
      <c r="AE8" s="53" t="s">
        <v>90</v>
      </c>
      <c r="AF8" s="53"/>
      <c r="AG8" s="53"/>
      <c r="AH8" s="53" t="str">
        <f ca="1">O8</f>
        <v>:  19-07-2026</v>
      </c>
      <c r="AI8" s="53"/>
      <c r="AJ8" s="53"/>
      <c r="AK8" s="53"/>
    </row>
    <row r="9" spans="1:38" ht="15" customHeight="1" x14ac:dyDescent="0.35">
      <c r="A9" s="52" t="str">
        <f>_xlfn.XLOOKUP(RN,InvProfile[Registered Name],InvProfile[Address])</f>
        <v>No.2 Jalan Austin Heights 2/11</v>
      </c>
      <c r="B9" s="52"/>
      <c r="C9" s="52"/>
      <c r="D9" s="52"/>
      <c r="E9" s="52"/>
      <c r="F9" s="52"/>
      <c r="G9" s="52"/>
      <c r="H9" s="52"/>
      <c r="I9" s="24"/>
      <c r="L9" s="53" t="s">
        <v>67</v>
      </c>
      <c r="M9" s="53"/>
      <c r="N9" s="53"/>
      <c r="O9" s="53" t="s">
        <v>77</v>
      </c>
      <c r="P9" s="53"/>
      <c r="Q9" s="53"/>
      <c r="R9" s="53"/>
      <c r="T9" s="52" t="str">
        <f t="shared" si="0"/>
        <v>No.2 Jalan Austin Heights 2/11</v>
      </c>
      <c r="U9" s="52"/>
      <c r="V9" s="52"/>
      <c r="W9" s="52"/>
      <c r="X9" s="52"/>
      <c r="Y9" s="52"/>
      <c r="Z9" s="52"/>
      <c r="AA9" s="52"/>
      <c r="AB9" s="24"/>
      <c r="AE9" s="53" t="s">
        <v>67</v>
      </c>
      <c r="AF9" s="53"/>
      <c r="AG9" s="53"/>
      <c r="AH9" s="53" t="str">
        <f t="shared" ref="AH9:AH12" si="1">O9</f>
        <v>:  Annually</v>
      </c>
      <c r="AI9" s="53"/>
      <c r="AJ9" s="53"/>
      <c r="AK9" s="53"/>
    </row>
    <row r="10" spans="1:38" ht="15" customHeight="1" x14ac:dyDescent="0.35">
      <c r="A10" s="52" t="str">
        <f>_xlfn.XLOOKUP(RN,InvProfile[Registered Name],InvProfile[Taman])</f>
        <v>Taman Mount Austin</v>
      </c>
      <c r="B10" s="52"/>
      <c r="C10" s="52"/>
      <c r="D10" s="52"/>
      <c r="E10" s="52"/>
      <c r="F10" s="52"/>
      <c r="G10" s="52"/>
      <c r="H10" s="52"/>
      <c r="I10" s="24"/>
      <c r="L10" s="53" t="s">
        <v>58</v>
      </c>
      <c r="M10" s="53"/>
      <c r="N10" s="53"/>
      <c r="O10" s="53" t="s">
        <v>62</v>
      </c>
      <c r="P10" s="53"/>
      <c r="Q10" s="53"/>
      <c r="R10" s="53"/>
      <c r="T10" s="52" t="str">
        <f t="shared" si="0"/>
        <v>Taman Mount Austin</v>
      </c>
      <c r="U10" s="52"/>
      <c r="V10" s="52"/>
      <c r="W10" s="52"/>
      <c r="X10" s="52"/>
      <c r="Y10" s="52"/>
      <c r="Z10" s="52"/>
      <c r="AA10" s="52"/>
      <c r="AB10" s="24"/>
      <c r="AE10" s="53" t="s">
        <v>58</v>
      </c>
      <c r="AF10" s="53"/>
      <c r="AG10" s="53"/>
      <c r="AH10" s="53" t="str">
        <f t="shared" si="1"/>
        <v>:  1/12/2024 - 30/11/2025</v>
      </c>
      <c r="AI10" s="53"/>
      <c r="AJ10" s="53"/>
      <c r="AK10" s="53"/>
    </row>
    <row r="11" spans="1:38" ht="15" customHeight="1" x14ac:dyDescent="0.35">
      <c r="A11" s="52" t="str">
        <f>_xlfn.XLOOKUP(RN,InvProfile[Registered Name],InvProfile[Postcode])</f>
        <v>81100 Johor Bahru</v>
      </c>
      <c r="B11" s="52"/>
      <c r="C11" s="52"/>
      <c r="D11" s="52"/>
      <c r="E11" s="52"/>
      <c r="F11" s="52"/>
      <c r="G11" s="52"/>
      <c r="H11" s="52"/>
      <c r="L11" s="53" t="s">
        <v>59</v>
      </c>
      <c r="M11" s="53"/>
      <c r="N11" s="53"/>
      <c r="O11" s="53" t="s">
        <v>63</v>
      </c>
      <c r="P11" s="53"/>
      <c r="Q11" s="53"/>
      <c r="R11" s="53"/>
      <c r="T11" s="52" t="str">
        <f>A11</f>
        <v>81100 Johor Bahru</v>
      </c>
      <c r="U11" s="52"/>
      <c r="V11" s="52"/>
      <c r="W11" s="52"/>
      <c r="X11" s="52"/>
      <c r="Y11" s="52"/>
      <c r="Z11" s="52"/>
      <c r="AA11" s="52"/>
      <c r="AE11" s="53" t="s">
        <v>59</v>
      </c>
      <c r="AF11" s="53"/>
      <c r="AG11" s="53"/>
      <c r="AH11" s="53" t="str">
        <f t="shared" si="1"/>
        <v>:  nzy.invest@gmail.com</v>
      </c>
      <c r="AI11" s="53"/>
      <c r="AJ11" s="53"/>
      <c r="AK11" s="53"/>
    </row>
    <row r="12" spans="1:38" ht="15" customHeight="1" x14ac:dyDescent="0.35">
      <c r="L12" s="53" t="s">
        <v>60</v>
      </c>
      <c r="M12" s="53"/>
      <c r="N12" s="53"/>
      <c r="O12" s="53" t="s">
        <v>64</v>
      </c>
      <c r="P12" s="53"/>
      <c r="Q12" s="53"/>
      <c r="R12" s="53"/>
      <c r="AE12" s="53" t="s">
        <v>60</v>
      </c>
      <c r="AF12" s="53"/>
      <c r="AG12" s="53"/>
      <c r="AH12" s="53" t="str">
        <f t="shared" si="1"/>
        <v>:  (+60)11 - 1121 8085</v>
      </c>
      <c r="AI12" s="53"/>
      <c r="AJ12" s="53"/>
      <c r="AK12" s="53"/>
    </row>
    <row r="14" spans="1:38" ht="29.5" customHeight="1" x14ac:dyDescent="0.35">
      <c r="A14" s="154" t="s">
        <v>88</v>
      </c>
      <c r="B14" s="154"/>
      <c r="C14" s="154"/>
      <c r="D14" s="154"/>
      <c r="T14" s="25" t="s">
        <v>93</v>
      </c>
      <c r="U14" s="32"/>
      <c r="V14" s="32"/>
      <c r="W14" s="32"/>
    </row>
    <row r="15" spans="1:38" ht="29.5" customHeight="1" x14ac:dyDescent="0.35">
      <c r="A15" s="59" t="s">
        <v>144</v>
      </c>
      <c r="B15" s="59"/>
      <c r="C15" s="59"/>
      <c r="D15" s="59"/>
      <c r="E15" s="59" t="str">
        <f>_xlfn.XLOOKUP(RN,InvProfile[Registered Name],InvProfile[Account Type])</f>
        <v>Joint Account</v>
      </c>
      <c r="F15" s="59"/>
      <c r="G15" s="59"/>
      <c r="H15" s="59"/>
      <c r="I15" s="59"/>
      <c r="J15" s="59" t="s">
        <v>147</v>
      </c>
      <c r="K15" s="59"/>
      <c r="L15" s="59"/>
      <c r="M15" s="59"/>
      <c r="N15" s="59" t="e" cm="1" vm="2">
        <f t="array" ref="N15">_xlfn._xlws.FILTER(InvProfile[Account ID],(InvProfile[Registered Name]=RN)*(InvProfile[Nominee]=NN))</f>
        <v>#VALUE!</v>
      </c>
      <c r="O15" s="59"/>
      <c r="P15" s="59"/>
      <c r="Q15" s="59"/>
      <c r="R15" s="59"/>
      <c r="S15" s="59"/>
      <c r="T15" s="72" t="s">
        <v>23</v>
      </c>
      <c r="U15" s="73"/>
      <c r="V15" s="73"/>
      <c r="W15" s="72" t="s">
        <v>52</v>
      </c>
      <c r="X15" s="73"/>
      <c r="Y15" s="73"/>
      <c r="Z15" s="67" t="s">
        <v>95</v>
      </c>
      <c r="AA15" s="61"/>
      <c r="AB15" s="61"/>
      <c r="AC15" s="67" t="s">
        <v>98</v>
      </c>
      <c r="AD15" s="61"/>
      <c r="AE15" s="62"/>
      <c r="AF15" s="61" t="s">
        <v>97</v>
      </c>
      <c r="AG15" s="61"/>
      <c r="AH15" s="62"/>
      <c r="AI15" s="61" t="s">
        <v>94</v>
      </c>
      <c r="AJ15" s="61"/>
      <c r="AK15" s="61"/>
      <c r="AL15" s="62"/>
    </row>
    <row r="16" spans="1:38" ht="29.5" customHeight="1" x14ac:dyDescent="0.35">
      <c r="A16" s="59" t="s">
        <v>145</v>
      </c>
      <c r="B16" s="59"/>
      <c r="C16" s="59"/>
      <c r="D16" s="59"/>
      <c r="E16" s="59" t="s">
        <v>181</v>
      </c>
      <c r="F16" s="59"/>
      <c r="G16" s="59"/>
      <c r="H16" s="59"/>
      <c r="I16" s="59"/>
      <c r="J16" s="59" t="s">
        <v>75</v>
      </c>
      <c r="K16" s="59"/>
      <c r="L16" s="59"/>
      <c r="M16" s="59"/>
      <c r="N16" s="59" t="str">
        <f>_xlfn.XLOOKUP(RN,InvProfile[Registered Name],InvProfile[Settlement])</f>
        <v>Banking</v>
      </c>
      <c r="O16" s="59"/>
      <c r="P16" s="59"/>
      <c r="Q16" s="59"/>
      <c r="R16" s="59"/>
      <c r="S16" s="59"/>
      <c r="T16" s="68">
        <v>45627</v>
      </c>
      <c r="U16" s="69"/>
      <c r="V16" s="69"/>
      <c r="W16" s="70" t="s">
        <v>82</v>
      </c>
      <c r="X16" s="71"/>
      <c r="Y16" s="71"/>
      <c r="Z16" s="147"/>
      <c r="AA16" s="148"/>
      <c r="AB16" s="148"/>
      <c r="AC16" s="149"/>
      <c r="AD16" s="150"/>
      <c r="AE16" s="151"/>
      <c r="AF16" s="77"/>
      <c r="AG16" s="77"/>
      <c r="AH16" s="78"/>
      <c r="AI16" s="77" t="e" vm="3">
        <f>G23</f>
        <v>#VALUE!</v>
      </c>
      <c r="AJ16" s="77"/>
      <c r="AK16" s="77"/>
      <c r="AL16" s="78"/>
    </row>
    <row r="17" spans="1:38" ht="29.5" customHeight="1" x14ac:dyDescent="0.35">
      <c r="A17" s="59" t="s">
        <v>146</v>
      </c>
      <c r="B17" s="59"/>
      <c r="C17" s="59"/>
      <c r="D17" s="59"/>
      <c r="E17" s="59" t="str">
        <f>_xlfn.XLOOKUP(RN,InvProfile[Registered Name],InvProfile[Phone])</f>
        <v>(+60)16 - 709 6000</v>
      </c>
      <c r="F17" s="59"/>
      <c r="G17" s="59"/>
      <c r="H17" s="59"/>
      <c r="I17" s="59"/>
      <c r="J17" s="59" t="s">
        <v>71</v>
      </c>
      <c r="K17" s="59"/>
      <c r="L17" s="59"/>
      <c r="M17" s="59"/>
      <c r="N17" s="59" t="str">
        <f>_xlfn.XLOOKUP(RN,InvProfile[Registered Name],InvProfile[Bank Name])</f>
        <v>Malayan Bank</v>
      </c>
      <c r="O17" s="59"/>
      <c r="P17" s="59"/>
      <c r="Q17" s="59"/>
      <c r="R17" s="59"/>
      <c r="S17" s="59"/>
      <c r="T17" s="79">
        <v>45991</v>
      </c>
      <c r="U17" s="80"/>
      <c r="V17" s="80"/>
      <c r="W17" s="81" t="s">
        <v>85</v>
      </c>
      <c r="X17" s="82"/>
      <c r="Y17" s="82"/>
      <c r="Z17" s="142"/>
      <c r="AA17" s="143"/>
      <c r="AB17" s="143"/>
      <c r="AC17" s="144"/>
      <c r="AD17" s="145"/>
      <c r="AE17" s="146"/>
      <c r="AF17" s="89"/>
      <c r="AG17" s="89"/>
      <c r="AH17" s="90"/>
      <c r="AI17" s="89" t="e" vm="3">
        <f>G23</f>
        <v>#VALUE!</v>
      </c>
      <c r="AJ17" s="89"/>
      <c r="AK17" s="89"/>
      <c r="AL17" s="90"/>
    </row>
    <row r="18" spans="1:38" ht="29.5" customHeight="1" x14ac:dyDescent="0.35">
      <c r="A18" s="59" t="s">
        <v>59</v>
      </c>
      <c r="B18" s="59"/>
      <c r="C18" s="59"/>
      <c r="D18" s="59"/>
      <c r="E18" s="59" t="str">
        <f>_xlfn.XLOOKUP(RN,InvProfile[Registered Name],InvProfile[Email])</f>
        <v>kensiah@live.com</v>
      </c>
      <c r="F18" s="59"/>
      <c r="G18" s="59"/>
      <c r="H18" s="59"/>
      <c r="I18" s="59"/>
      <c r="J18" s="59" t="s">
        <v>69</v>
      </c>
      <c r="K18" s="59"/>
      <c r="L18" s="59"/>
      <c r="M18" s="59"/>
      <c r="N18" s="59" t="str">
        <f>_xlfn.XLOOKUP(RN,InvProfile[Registered Name],InvProfile[Bank Acc])</f>
        <v>1012 8000 3953</v>
      </c>
      <c r="O18" s="59"/>
      <c r="P18" s="59"/>
      <c r="Q18" s="59"/>
      <c r="R18" s="59"/>
      <c r="S18" s="59"/>
      <c r="T18" s="34"/>
      <c r="U18" s="34"/>
      <c r="V18" s="34"/>
      <c r="W18" s="35"/>
      <c r="X18" s="35"/>
      <c r="Y18" s="35"/>
      <c r="Z18" s="35"/>
      <c r="AA18" s="35"/>
      <c r="AB18" s="35"/>
      <c r="AC18" s="35"/>
      <c r="AD18" s="35"/>
      <c r="AE18" s="35"/>
      <c r="AF18" s="35"/>
      <c r="AG18" s="35"/>
      <c r="AH18" s="35"/>
      <c r="AI18" s="35"/>
      <c r="AJ18" s="35"/>
      <c r="AK18" s="35"/>
      <c r="AL18" s="35"/>
    </row>
    <row r="19" spans="1:38" ht="29.5" customHeight="1" x14ac:dyDescent="0.35">
      <c r="A19" s="59" t="str">
        <f>IF(LEFT(E15,1)="j","Joint Proportion","Nominee Name")</f>
        <v>Joint Proportion</v>
      </c>
      <c r="B19" s="59"/>
      <c r="C19" s="59"/>
      <c r="D19" s="59"/>
      <c r="E19" s="59" t="s">
        <v>183</v>
      </c>
      <c r="F19" s="59"/>
      <c r="G19" s="59"/>
      <c r="H19" s="59"/>
      <c r="I19" s="59"/>
      <c r="J19" s="59" t="s">
        <v>167</v>
      </c>
      <c r="K19" s="59"/>
      <c r="L19" s="59"/>
      <c r="M19" s="59"/>
      <c r="N19" s="60" t="e" cm="1" vm="2">
        <f t="array" ref="N19">TEXT(DATE(2025,11,30)-_xlfn._xlws.FILTER(InvProfile[Issued Date],(InvProfile[Registered Name]=RN)*(InvProfile[Nominee]=NN)),"#,##0") &amp; "  days"</f>
        <v>#VALUE!</v>
      </c>
      <c r="O19" s="60"/>
      <c r="P19" s="60"/>
      <c r="Q19" s="60"/>
      <c r="R19" s="60"/>
      <c r="S19" s="60"/>
      <c r="T19" s="25" t="s">
        <v>87</v>
      </c>
      <c r="U19" s="32"/>
      <c r="V19" s="32"/>
      <c r="W19" s="32"/>
    </row>
    <row r="20" spans="1:38" ht="29.5" customHeight="1" x14ac:dyDescent="0.35">
      <c r="A20" s="25"/>
      <c r="B20" s="33"/>
      <c r="C20" s="33"/>
      <c r="D20" s="33"/>
      <c r="E20" s="33"/>
      <c r="F20" s="33"/>
      <c r="G20" s="33"/>
      <c r="H20" s="33"/>
      <c r="I20" s="33"/>
      <c r="J20" s="33"/>
      <c r="K20" s="33"/>
      <c r="L20" s="33"/>
      <c r="M20" s="33"/>
      <c r="N20" s="33"/>
      <c r="O20" s="33"/>
      <c r="P20" s="33"/>
      <c r="Q20" s="33"/>
      <c r="R20" s="33"/>
      <c r="S20" s="33"/>
      <c r="T20" s="136" t="s">
        <v>23</v>
      </c>
      <c r="U20" s="137"/>
      <c r="V20" s="138"/>
      <c r="W20" s="136" t="s">
        <v>52</v>
      </c>
      <c r="X20" s="137"/>
      <c r="Y20" s="137"/>
      <c r="Z20" s="138"/>
      <c r="AA20" s="108" t="s">
        <v>80</v>
      </c>
      <c r="AB20" s="109"/>
      <c r="AC20" s="108" t="s">
        <v>65</v>
      </c>
      <c r="AD20" s="110"/>
      <c r="AE20" s="109"/>
      <c r="AF20" s="108" t="s">
        <v>81</v>
      </c>
      <c r="AG20" s="110"/>
      <c r="AH20" s="109"/>
      <c r="AI20" s="108" t="s">
        <v>86</v>
      </c>
      <c r="AJ20" s="110"/>
      <c r="AK20" s="110"/>
      <c r="AL20" s="109"/>
    </row>
    <row r="21" spans="1:38" ht="29.5" customHeight="1" x14ac:dyDescent="0.35">
      <c r="A21" s="57" t="s">
        <v>57</v>
      </c>
      <c r="B21" s="57"/>
      <c r="C21" s="57"/>
      <c r="D21" s="57"/>
      <c r="E21" s="33"/>
      <c r="F21" s="33"/>
      <c r="G21" s="33"/>
      <c r="H21" s="33"/>
      <c r="I21" s="33"/>
      <c r="J21" s="33"/>
      <c r="K21" s="33"/>
      <c r="L21" s="33"/>
      <c r="M21" s="33"/>
      <c r="N21" s="33"/>
      <c r="O21" s="33"/>
      <c r="P21" s="33"/>
      <c r="Q21" s="33"/>
      <c r="R21" s="33"/>
      <c r="S21" s="33"/>
      <c r="T21" s="111">
        <v>45627</v>
      </c>
      <c r="U21" s="112"/>
      <c r="V21" s="113"/>
      <c r="W21" s="114" t="s">
        <v>82</v>
      </c>
      <c r="X21" s="115"/>
      <c r="Y21" s="115"/>
      <c r="Z21" s="116"/>
      <c r="AA21" s="29"/>
      <c r="AB21" s="30"/>
      <c r="AC21" s="29"/>
      <c r="AD21" s="30"/>
      <c r="AE21" s="31"/>
      <c r="AF21" s="30"/>
      <c r="AG21" s="30"/>
      <c r="AH21" s="31"/>
      <c r="AI21" s="117">
        <v>0</v>
      </c>
      <c r="AJ21" s="118"/>
      <c r="AK21" s="118"/>
      <c r="AL21" s="119"/>
    </row>
    <row r="22" spans="1:38" ht="29.5" customHeight="1" x14ac:dyDescent="0.35">
      <c r="A22" s="139" t="s">
        <v>79</v>
      </c>
      <c r="B22" s="139"/>
      <c r="C22" s="139"/>
      <c r="D22" s="139"/>
      <c r="E22" s="139"/>
      <c r="F22" s="139"/>
      <c r="G22" s="139" t="s">
        <v>65</v>
      </c>
      <c r="H22" s="139"/>
      <c r="I22" s="139"/>
      <c r="J22" s="139"/>
      <c r="K22" s="139" t="s">
        <v>155</v>
      </c>
      <c r="L22" s="139"/>
      <c r="M22" s="139"/>
      <c r="N22" s="139"/>
      <c r="O22" s="139" t="s">
        <v>165</v>
      </c>
      <c r="P22" s="139"/>
      <c r="Q22" s="139"/>
      <c r="R22" s="139"/>
      <c r="S22" s="139"/>
      <c r="T22" s="68">
        <v>45658</v>
      </c>
      <c r="U22" s="69"/>
      <c r="V22" s="134"/>
      <c r="W22" s="70" t="s">
        <v>84</v>
      </c>
      <c r="X22" s="71"/>
      <c r="Y22" s="71"/>
      <c r="Z22" s="132"/>
      <c r="AA22" s="123">
        <v>0.5</v>
      </c>
      <c r="AB22" s="125"/>
      <c r="AC22" s="133" t="e" vm="3">
        <f>G23</f>
        <v>#VALUE!</v>
      </c>
      <c r="AD22" s="77"/>
      <c r="AE22" s="78"/>
      <c r="AF22" s="123" t="e" vm="3">
        <f>AA22*AC22/100</f>
        <v>#VALUE!</v>
      </c>
      <c r="AG22" s="124"/>
      <c r="AH22" s="125"/>
      <c r="AI22" s="123" t="e" vm="3">
        <f>AF22+AI21</f>
        <v>#VALUE!</v>
      </c>
      <c r="AJ22" s="124"/>
      <c r="AK22" s="124"/>
      <c r="AL22" s="125"/>
    </row>
    <row r="23" spans="1:38" ht="29.5" customHeight="1" x14ac:dyDescent="0.35">
      <c r="A23" s="141" t="s">
        <v>160</v>
      </c>
      <c r="B23" s="141"/>
      <c r="C23" s="59" t="s">
        <v>153</v>
      </c>
      <c r="D23" s="59"/>
      <c r="E23" s="59"/>
      <c r="F23" s="59"/>
      <c r="G23" s="121" t="e" vm="3">
        <f>_xlfn.XLOOKUP(AID,InvProfile[Account ID],InvProfile[Holding Units])</f>
        <v>#VALUE!</v>
      </c>
      <c r="H23" s="121"/>
      <c r="I23" s="121"/>
      <c r="J23" s="121"/>
      <c r="K23" s="121" t="e" vm="3">
        <f>_xlfn.XLOOKUP(AID,InvProfile[Account ID],InvProfile[Latest Price])</f>
        <v>#VALUE!</v>
      </c>
      <c r="L23" s="121"/>
      <c r="M23" s="121"/>
      <c r="N23" s="121"/>
      <c r="O23" s="122" t="e" vm="3">
        <f>ROUND(G23*K23,2)</f>
        <v>#VALUE!</v>
      </c>
      <c r="P23" s="122"/>
      <c r="Q23" s="122"/>
      <c r="R23" s="122"/>
      <c r="S23" s="122"/>
      <c r="T23" s="68">
        <v>45689</v>
      </c>
      <c r="U23" s="69"/>
      <c r="V23" s="134"/>
      <c r="W23" s="70" t="s">
        <v>83</v>
      </c>
      <c r="X23" s="71"/>
      <c r="Y23" s="71"/>
      <c r="Z23" s="132"/>
      <c r="AA23" s="123">
        <v>1.55</v>
      </c>
      <c r="AB23" s="125"/>
      <c r="AC23" s="133" t="e" vm="3">
        <f>AC22</f>
        <v>#VALUE!</v>
      </c>
      <c r="AD23" s="77"/>
      <c r="AE23" s="78"/>
      <c r="AF23" s="123" t="e" vm="3">
        <f>AA23*AC23/100</f>
        <v>#VALUE!</v>
      </c>
      <c r="AG23" s="124"/>
      <c r="AH23" s="125"/>
      <c r="AI23" s="123" t="e" vm="3">
        <f t="shared" ref="AI23:AI24" si="2">AF23+AI22</f>
        <v>#VALUE!</v>
      </c>
      <c r="AJ23" s="124"/>
      <c r="AK23" s="124"/>
      <c r="AL23" s="125"/>
    </row>
    <row r="24" spans="1:38" ht="29.5" customHeight="1" x14ac:dyDescent="0.35">
      <c r="A24" s="141" t="s">
        <v>161</v>
      </c>
      <c r="B24" s="141"/>
      <c r="C24" s="59" t="s">
        <v>169</v>
      </c>
      <c r="D24" s="59"/>
      <c r="E24" s="59"/>
      <c r="F24" s="59"/>
      <c r="G24" s="121" t="e" vm="3">
        <f>G23</f>
        <v>#VALUE!</v>
      </c>
      <c r="H24" s="121"/>
      <c r="I24" s="121"/>
      <c r="J24" s="121"/>
      <c r="K24" s="121" t="e" vm="3">
        <f>ABS(O24/G24)</f>
        <v>#VALUE!</v>
      </c>
      <c r="L24" s="121"/>
      <c r="M24" s="121"/>
      <c r="N24" s="121"/>
      <c r="O24" s="122" t="e" vm="3">
        <f>-_xlfn.XLOOKUP(AID,InvProfile[Account ID],InvProfile[Total Cost])</f>
        <v>#VALUE!</v>
      </c>
      <c r="P24" s="122"/>
      <c r="Q24" s="122"/>
      <c r="R24" s="122"/>
      <c r="S24" s="122"/>
      <c r="T24" s="79">
        <v>45991</v>
      </c>
      <c r="U24" s="80"/>
      <c r="V24" s="126"/>
      <c r="W24" s="127" t="s">
        <v>85</v>
      </c>
      <c r="X24" s="82"/>
      <c r="Y24" s="82"/>
      <c r="Z24" s="128"/>
      <c r="AA24" s="26"/>
      <c r="AB24" s="27"/>
      <c r="AC24" s="26"/>
      <c r="AD24" s="27"/>
      <c r="AE24" s="28"/>
      <c r="AF24" s="27"/>
      <c r="AG24" s="27"/>
      <c r="AH24" s="28"/>
      <c r="AI24" s="129" t="e" vm="3">
        <f t="shared" si="2"/>
        <v>#VALUE!</v>
      </c>
      <c r="AJ24" s="130"/>
      <c r="AK24" s="130"/>
      <c r="AL24" s="131"/>
    </row>
    <row r="25" spans="1:38" ht="29.5" customHeight="1" x14ac:dyDescent="0.35">
      <c r="A25" s="139" t="s">
        <v>162</v>
      </c>
      <c r="B25" s="139"/>
      <c r="C25" s="139"/>
      <c r="D25" s="59" t="s">
        <v>157</v>
      </c>
      <c r="E25" s="59"/>
      <c r="F25" s="59"/>
      <c r="G25" s="59"/>
      <c r="H25" s="59"/>
      <c r="I25" s="59"/>
      <c r="J25" s="59"/>
      <c r="K25" s="59"/>
      <c r="L25" s="59"/>
      <c r="M25" s="59"/>
      <c r="N25" s="59"/>
      <c r="O25" s="122" t="e" vm="3">
        <f>O23+O24</f>
        <v>#VALUE!</v>
      </c>
      <c r="P25" s="122"/>
      <c r="Q25" s="122"/>
      <c r="R25" s="122"/>
      <c r="S25" s="122"/>
      <c r="T25" s="34"/>
      <c r="U25" s="34"/>
      <c r="V25" s="34"/>
      <c r="W25" s="35"/>
      <c r="X25" s="35"/>
      <c r="Y25" s="35"/>
      <c r="Z25" s="35"/>
      <c r="AA25" s="35"/>
      <c r="AB25" s="35"/>
      <c r="AC25" s="35"/>
      <c r="AD25" s="35"/>
      <c r="AE25" s="35"/>
      <c r="AF25" s="35"/>
      <c r="AG25" s="35"/>
      <c r="AH25" s="35"/>
      <c r="AI25" s="35"/>
      <c r="AJ25" s="35"/>
      <c r="AK25" s="35"/>
      <c r="AL25" s="35"/>
    </row>
    <row r="26" spans="1:38" ht="29.5" customHeight="1" x14ac:dyDescent="0.35">
      <c r="A26" s="139" t="s">
        <v>163</v>
      </c>
      <c r="B26" s="139"/>
      <c r="C26" s="139"/>
      <c r="D26" s="59" t="s">
        <v>156</v>
      </c>
      <c r="E26" s="59"/>
      <c r="F26" s="59"/>
      <c r="G26" s="59"/>
      <c r="H26" s="59"/>
      <c r="I26" s="59"/>
      <c r="J26" s="59"/>
      <c r="K26" s="59"/>
      <c r="L26" s="59"/>
      <c r="M26" s="59"/>
      <c r="N26" s="59"/>
      <c r="O26" s="122" t="e" vm="3">
        <f>_xlfn.XLOOKUP(AID,InvProfile[Account ID],InvProfile[Realized])</f>
        <v>#VALUE!</v>
      </c>
      <c r="P26" s="122"/>
      <c r="Q26" s="122"/>
      <c r="R26" s="122"/>
      <c r="S26" s="122"/>
      <c r="T26" s="34"/>
      <c r="U26" s="34"/>
      <c r="V26" s="34"/>
      <c r="W26" s="35"/>
      <c r="X26" s="35"/>
      <c r="Y26" s="35"/>
      <c r="Z26" s="35"/>
      <c r="AA26" s="35"/>
      <c r="AB26" s="35"/>
      <c r="AC26" s="35"/>
      <c r="AD26" s="35"/>
      <c r="AE26" s="35"/>
      <c r="AF26" s="35"/>
      <c r="AG26" s="35"/>
      <c r="AH26" s="35"/>
      <c r="AI26" s="35"/>
      <c r="AJ26" s="35"/>
      <c r="AK26" s="35"/>
      <c r="AL26" s="35"/>
    </row>
    <row r="27" spans="1:38" ht="29.5" customHeight="1" x14ac:dyDescent="0.35">
      <c r="A27" s="139" t="s">
        <v>164</v>
      </c>
      <c r="B27" s="139"/>
      <c r="C27" s="139"/>
      <c r="D27" s="59" t="s">
        <v>154</v>
      </c>
      <c r="E27" s="59"/>
      <c r="F27" s="59"/>
      <c r="G27" s="59"/>
      <c r="H27" s="59"/>
      <c r="I27" s="59"/>
      <c r="J27" s="59"/>
      <c r="K27" s="59"/>
      <c r="L27" s="59"/>
      <c r="M27" s="59"/>
      <c r="N27" s="59"/>
      <c r="O27" s="122" t="e" vm="3">
        <f>AI24</f>
        <v>#VALUE!</v>
      </c>
      <c r="P27" s="122"/>
      <c r="Q27" s="122"/>
      <c r="R27" s="122"/>
      <c r="S27" s="122"/>
      <c r="T27" s="34"/>
      <c r="U27" s="34"/>
      <c r="V27" s="34"/>
      <c r="W27" s="35"/>
      <c r="X27" s="35"/>
      <c r="Y27" s="35"/>
      <c r="Z27" s="35"/>
      <c r="AA27" s="35"/>
      <c r="AB27" s="35"/>
      <c r="AC27" s="35"/>
      <c r="AD27" s="35"/>
      <c r="AE27" s="35"/>
      <c r="AF27" s="35"/>
      <c r="AG27" s="35"/>
      <c r="AH27" s="35"/>
      <c r="AI27" s="35"/>
      <c r="AJ27" s="35"/>
      <c r="AK27" s="35"/>
      <c r="AL27" s="35"/>
    </row>
    <row r="28" spans="1:38" ht="29.5" customHeight="1" x14ac:dyDescent="0.35">
      <c r="A28" s="139" t="s">
        <v>175</v>
      </c>
      <c r="B28" s="139"/>
      <c r="C28" s="139"/>
      <c r="D28" s="59" t="s">
        <v>177</v>
      </c>
      <c r="E28" s="59"/>
      <c r="F28" s="59"/>
      <c r="G28" s="59"/>
      <c r="H28" s="59"/>
      <c r="I28" s="59"/>
      <c r="J28" s="59"/>
      <c r="K28" s="59"/>
      <c r="L28" s="59"/>
      <c r="M28" s="59"/>
      <c r="N28" s="59"/>
      <c r="O28" s="122">
        <v>-15000</v>
      </c>
      <c r="P28" s="122"/>
      <c r="Q28" s="122"/>
      <c r="R28" s="122"/>
      <c r="S28" s="122"/>
      <c r="T28" s="42"/>
      <c r="U28" s="42"/>
      <c r="V28" s="42"/>
      <c r="W28" s="42"/>
      <c r="X28" s="42"/>
      <c r="Y28" s="42"/>
      <c r="Z28" s="23"/>
      <c r="AA28" s="23"/>
      <c r="AB28" s="23"/>
      <c r="AC28" s="23"/>
      <c r="AD28" s="23"/>
      <c r="AE28" s="23"/>
      <c r="AF28" s="23"/>
      <c r="AG28" s="23"/>
      <c r="AH28" s="23"/>
      <c r="AI28" s="23"/>
      <c r="AJ28" s="23"/>
      <c r="AK28" s="23"/>
      <c r="AL28" s="23"/>
    </row>
    <row r="29" spans="1:38" ht="29.5" customHeight="1" x14ac:dyDescent="0.35">
      <c r="A29" s="120" t="s">
        <v>176</v>
      </c>
      <c r="B29" s="120"/>
      <c r="C29" s="120"/>
      <c r="D29" s="120"/>
      <c r="E29" s="120"/>
      <c r="F29" s="120"/>
      <c r="G29" s="120"/>
      <c r="H29" s="120"/>
      <c r="I29" s="120"/>
      <c r="J29" s="120"/>
      <c r="K29" s="120"/>
      <c r="L29" s="120"/>
      <c r="M29" s="120"/>
      <c r="N29" s="120"/>
      <c r="O29" s="140" t="e" vm="3">
        <f>SUM(O25:S28)</f>
        <v>#VALUE!</v>
      </c>
      <c r="P29" s="140"/>
      <c r="Q29" s="140"/>
      <c r="R29" s="140"/>
      <c r="S29" s="140"/>
      <c r="T29" s="40"/>
      <c r="U29" s="40"/>
      <c r="V29" s="43"/>
      <c r="W29" s="43"/>
      <c r="X29" s="43"/>
      <c r="Y29" s="43"/>
      <c r="Z29" s="36"/>
      <c r="AA29" s="36"/>
      <c r="AB29" s="33"/>
      <c r="AC29" s="33"/>
      <c r="AD29" s="33"/>
      <c r="AE29" s="33"/>
      <c r="AF29" s="33"/>
      <c r="AG29" s="33"/>
      <c r="AH29" s="33"/>
      <c r="AI29" s="33"/>
      <c r="AJ29" s="33"/>
      <c r="AK29" s="33"/>
      <c r="AL29" s="33"/>
    </row>
    <row r="30" spans="1:38" ht="29.5" customHeight="1" x14ac:dyDescent="0.35">
      <c r="A30" s="120" t="s">
        <v>158</v>
      </c>
      <c r="B30" s="120"/>
      <c r="C30" s="120"/>
      <c r="D30" s="120"/>
      <c r="E30" s="120"/>
      <c r="F30" s="120"/>
      <c r="G30" s="120"/>
      <c r="H30" s="120"/>
      <c r="I30" s="120"/>
      <c r="J30" s="120"/>
      <c r="K30" s="120"/>
      <c r="L30" s="120"/>
      <c r="M30" s="120"/>
      <c r="N30" s="120"/>
      <c r="O30" s="153" t="e" vm="3">
        <f>-O29/O24</f>
        <v>#VALUE!</v>
      </c>
      <c r="P30" s="153"/>
      <c r="Q30" s="153"/>
      <c r="R30" s="153"/>
      <c r="S30" s="153"/>
      <c r="T30" s="45" t="s">
        <v>96</v>
      </c>
      <c r="U30" s="40"/>
      <c r="V30" s="44"/>
      <c r="W30" s="44"/>
      <c r="X30" s="44"/>
      <c r="Y30" s="44"/>
      <c r="Z30" s="36"/>
      <c r="AA30" s="36"/>
      <c r="AB30" s="33"/>
      <c r="AC30" s="33"/>
      <c r="AD30" s="33"/>
      <c r="AE30" s="33"/>
      <c r="AF30" s="33"/>
      <c r="AG30" s="33"/>
      <c r="AH30" s="33"/>
      <c r="AI30" s="33"/>
      <c r="AJ30" s="33"/>
      <c r="AK30" s="33"/>
      <c r="AL30" s="33"/>
    </row>
    <row r="31" spans="1:38" ht="29.5" customHeight="1" x14ac:dyDescent="0.35">
      <c r="A31" s="120" t="s">
        <v>159</v>
      </c>
      <c r="B31" s="120"/>
      <c r="C31" s="120"/>
      <c r="D31" s="120"/>
      <c r="E31" s="120"/>
      <c r="F31" s="120"/>
      <c r="G31" s="120"/>
      <c r="H31" s="120"/>
      <c r="I31" s="120"/>
      <c r="J31" s="120"/>
      <c r="K31" s="120"/>
      <c r="L31" s="120"/>
      <c r="M31" s="120"/>
      <c r="N31" s="120"/>
      <c r="O31" s="153" t="s">
        <v>108</v>
      </c>
      <c r="P31" s="153"/>
      <c r="Q31" s="153"/>
      <c r="R31" s="153"/>
      <c r="S31" s="153"/>
      <c r="U31" s="40"/>
      <c r="V31" s="44"/>
      <c r="W31" s="44"/>
      <c r="X31" s="44"/>
      <c r="Y31" s="44"/>
      <c r="Z31" s="36"/>
      <c r="AA31" s="36"/>
      <c r="AB31" s="33"/>
      <c r="AC31" s="33"/>
      <c r="AD31" s="33"/>
      <c r="AE31" s="33"/>
      <c r="AF31" s="33"/>
      <c r="AG31" s="33"/>
      <c r="AH31" s="33"/>
      <c r="AI31" s="33"/>
      <c r="AJ31" s="33"/>
      <c r="AK31" s="33"/>
      <c r="AL31" s="33"/>
    </row>
    <row r="32" spans="1:38" ht="29.5" customHeight="1" x14ac:dyDescent="0.35">
      <c r="A32" s="135" t="s">
        <v>166</v>
      </c>
      <c r="B32" s="135"/>
      <c r="C32" s="135"/>
      <c r="D32" s="135"/>
      <c r="E32" s="135"/>
      <c r="F32" s="135"/>
      <c r="G32" s="135"/>
      <c r="H32" s="135"/>
      <c r="I32" s="135"/>
      <c r="J32" s="135"/>
      <c r="K32" s="135"/>
      <c r="L32" s="135"/>
      <c r="M32" s="135"/>
      <c r="N32" s="135"/>
      <c r="O32" s="135"/>
      <c r="P32" s="135"/>
      <c r="Q32" s="135"/>
      <c r="R32" s="135"/>
      <c r="S32" s="135"/>
      <c r="T32" s="35"/>
      <c r="U32" s="35"/>
      <c r="V32" s="35"/>
      <c r="W32" s="35"/>
      <c r="X32" s="35"/>
      <c r="Y32" s="35"/>
      <c r="Z32" s="35"/>
      <c r="AA32" s="35"/>
      <c r="AB32" s="35"/>
      <c r="AC32" s="35"/>
      <c r="AD32" s="35"/>
      <c r="AE32" s="35"/>
      <c r="AF32" s="35"/>
      <c r="AG32" s="35"/>
      <c r="AH32" s="35"/>
      <c r="AI32" s="35"/>
      <c r="AJ32" s="35"/>
      <c r="AK32" s="35"/>
      <c r="AL32" s="35"/>
    </row>
    <row r="33" spans="1:38" ht="29.5" customHeight="1" x14ac:dyDescent="0.35">
      <c r="A33" s="33"/>
      <c r="B33" s="33"/>
      <c r="C33" s="37"/>
      <c r="D33" s="37"/>
      <c r="E33" s="37"/>
      <c r="F33" s="46"/>
      <c r="G33" s="38"/>
      <c r="H33" s="38"/>
      <c r="I33" s="38"/>
      <c r="J33" s="38"/>
      <c r="K33" s="38"/>
      <c r="L33" s="38"/>
      <c r="M33" s="38"/>
      <c r="N33" s="38"/>
      <c r="O33" s="39"/>
      <c r="P33" s="39"/>
      <c r="Q33" s="39"/>
      <c r="R33" s="39"/>
      <c r="S33" s="39"/>
      <c r="T33" s="35"/>
      <c r="U33" s="35"/>
      <c r="V33" s="35"/>
      <c r="W33" s="35"/>
      <c r="X33" s="35"/>
      <c r="Y33" s="35"/>
      <c r="Z33" s="35"/>
      <c r="AA33" s="35"/>
      <c r="AB33" s="35"/>
      <c r="AC33" s="35"/>
      <c r="AD33" s="35"/>
      <c r="AE33" s="35"/>
      <c r="AF33" s="35"/>
      <c r="AG33" s="35"/>
      <c r="AH33" s="35"/>
      <c r="AI33" s="35"/>
      <c r="AJ33" s="35"/>
      <c r="AK33" s="35"/>
      <c r="AL33" s="35"/>
    </row>
    <row r="34" spans="1:38" ht="27" customHeight="1" x14ac:dyDescent="0.35">
      <c r="A34" s="19"/>
      <c r="B34" s="19"/>
      <c r="C34" s="19"/>
      <c r="D34" s="19"/>
      <c r="E34" s="19"/>
      <c r="F34" s="19"/>
      <c r="T34" s="27"/>
      <c r="U34" s="27"/>
      <c r="V34" s="27"/>
      <c r="W34" s="27"/>
      <c r="X34" s="27"/>
      <c r="Y34" s="27"/>
      <c r="Z34" s="27"/>
      <c r="AA34" s="27"/>
      <c r="AB34" s="27"/>
      <c r="AC34" s="27"/>
      <c r="AD34" s="27"/>
      <c r="AE34" s="27"/>
      <c r="AF34" s="27"/>
      <c r="AG34" s="27"/>
      <c r="AH34" s="27"/>
      <c r="AI34" s="27"/>
      <c r="AJ34" s="27"/>
      <c r="AK34" s="27"/>
      <c r="AL34" s="27"/>
    </row>
    <row r="35" spans="1:38" ht="15" customHeight="1" x14ac:dyDescent="0.35">
      <c r="A35" s="65" t="s">
        <v>49</v>
      </c>
      <c r="B35" s="65"/>
      <c r="C35" s="65"/>
      <c r="D35" s="65"/>
      <c r="E35" s="65"/>
      <c r="F35" s="65"/>
      <c r="G35" s="66" t="s">
        <v>54</v>
      </c>
      <c r="H35" s="66"/>
      <c r="I35" s="66"/>
      <c r="J35" s="66"/>
      <c r="K35" s="66"/>
      <c r="L35" s="66"/>
      <c r="M35" s="66"/>
      <c r="N35" s="66"/>
      <c r="O35" s="66"/>
      <c r="P35" s="66"/>
      <c r="Q35" s="66"/>
      <c r="R35" s="66"/>
      <c r="S35" s="66"/>
      <c r="T35" s="65" t="s">
        <v>49</v>
      </c>
      <c r="U35" s="65"/>
      <c r="V35" s="65"/>
      <c r="W35" s="65"/>
      <c r="X35" s="65"/>
      <c r="Y35" s="65"/>
      <c r="Z35" s="152" t="s">
        <v>54</v>
      </c>
      <c r="AA35" s="152"/>
      <c r="AB35" s="152"/>
      <c r="AC35" s="152"/>
      <c r="AD35" s="152"/>
      <c r="AE35" s="152"/>
      <c r="AF35" s="152"/>
      <c r="AG35" s="152"/>
      <c r="AH35" s="152"/>
      <c r="AI35" s="152"/>
      <c r="AJ35" s="152"/>
      <c r="AK35" s="152"/>
      <c r="AL35" s="152"/>
    </row>
  </sheetData>
  <mergeCells count="139">
    <mergeCell ref="A1:B4"/>
    <mergeCell ref="T1:U4"/>
    <mergeCell ref="K5:S5"/>
    <mergeCell ref="AD5:AL5"/>
    <mergeCell ref="K6:R6"/>
    <mergeCell ref="AD6:AK6"/>
    <mergeCell ref="A9:H9"/>
    <mergeCell ref="L9:N9"/>
    <mergeCell ref="O9:R9"/>
    <mergeCell ref="T9:AA9"/>
    <mergeCell ref="AE9:AG9"/>
    <mergeCell ref="AH9:AK9"/>
    <mergeCell ref="L7:N7"/>
    <mergeCell ref="O7:R7"/>
    <mergeCell ref="AE7:AG7"/>
    <mergeCell ref="AH7:AK7"/>
    <mergeCell ref="A8:H8"/>
    <mergeCell ref="L8:N8"/>
    <mergeCell ref="O8:R8"/>
    <mergeCell ref="T8:AA8"/>
    <mergeCell ref="AE8:AG8"/>
    <mergeCell ref="AH8:AK8"/>
    <mergeCell ref="A11:H11"/>
    <mergeCell ref="L11:N11"/>
    <mergeCell ref="O11:R11"/>
    <mergeCell ref="T11:AA11"/>
    <mergeCell ref="AE11:AG11"/>
    <mergeCell ref="AH11:AK11"/>
    <mergeCell ref="A10:H10"/>
    <mergeCell ref="L10:N10"/>
    <mergeCell ref="O10:R10"/>
    <mergeCell ref="T10:AA10"/>
    <mergeCell ref="AE10:AG10"/>
    <mergeCell ref="AH10:AK10"/>
    <mergeCell ref="L12:N12"/>
    <mergeCell ref="O12:R12"/>
    <mergeCell ref="AE12:AG12"/>
    <mergeCell ref="AH12:AK12"/>
    <mergeCell ref="A14:D14"/>
    <mergeCell ref="A15:D15"/>
    <mergeCell ref="E15:I15"/>
    <mergeCell ref="J15:M15"/>
    <mergeCell ref="N15:S15"/>
    <mergeCell ref="T15:V15"/>
    <mergeCell ref="W15:Y15"/>
    <mergeCell ref="Z15:AB15"/>
    <mergeCell ref="AC15:AE15"/>
    <mergeCell ref="AF15:AH15"/>
    <mergeCell ref="Z35:AL35"/>
    <mergeCell ref="A18:D18"/>
    <mergeCell ref="A19:D19"/>
    <mergeCell ref="J18:M18"/>
    <mergeCell ref="J19:M19"/>
    <mergeCell ref="E18:I18"/>
    <mergeCell ref="E19:I19"/>
    <mergeCell ref="N18:S18"/>
    <mergeCell ref="N19:S19"/>
    <mergeCell ref="O22:S22"/>
    <mergeCell ref="A35:F35"/>
    <mergeCell ref="G35:S35"/>
    <mergeCell ref="T35:Y35"/>
    <mergeCell ref="O30:S30"/>
    <mergeCell ref="A27:C27"/>
    <mergeCell ref="A26:C26"/>
    <mergeCell ref="A23:B23"/>
    <mergeCell ref="A31:N31"/>
    <mergeCell ref="G22:J22"/>
    <mergeCell ref="AF23:AH23"/>
    <mergeCell ref="A28:C28"/>
    <mergeCell ref="D28:N28"/>
    <mergeCell ref="W20:Z20"/>
    <mergeCell ref="O31:S31"/>
    <mergeCell ref="W17:Y17"/>
    <mergeCell ref="Z17:AB17"/>
    <mergeCell ref="AC17:AE17"/>
    <mergeCell ref="AF17:AH17"/>
    <mergeCell ref="AI15:AL15"/>
    <mergeCell ref="AI17:AL17"/>
    <mergeCell ref="W16:Y16"/>
    <mergeCell ref="Z16:AB16"/>
    <mergeCell ref="AC16:AE16"/>
    <mergeCell ref="AF16:AH16"/>
    <mergeCell ref="AI16:AL16"/>
    <mergeCell ref="A17:D17"/>
    <mergeCell ref="E17:I17"/>
    <mergeCell ref="J17:M17"/>
    <mergeCell ref="N17:S17"/>
    <mergeCell ref="T17:V17"/>
    <mergeCell ref="A16:D16"/>
    <mergeCell ref="E16:I16"/>
    <mergeCell ref="J16:M16"/>
    <mergeCell ref="N16:S16"/>
    <mergeCell ref="T16:V16"/>
    <mergeCell ref="A32:S32"/>
    <mergeCell ref="A21:D21"/>
    <mergeCell ref="T20:V20"/>
    <mergeCell ref="T22:V22"/>
    <mergeCell ref="D25:N25"/>
    <mergeCell ref="D26:N26"/>
    <mergeCell ref="D27:N27"/>
    <mergeCell ref="A25:C25"/>
    <mergeCell ref="O29:S29"/>
    <mergeCell ref="A29:N29"/>
    <mergeCell ref="O26:S26"/>
    <mergeCell ref="O27:S27"/>
    <mergeCell ref="A24:B24"/>
    <mergeCell ref="C24:F24"/>
    <mergeCell ref="G24:J24"/>
    <mergeCell ref="K24:N24"/>
    <mergeCell ref="O24:S24"/>
    <mergeCell ref="O25:S25"/>
    <mergeCell ref="K22:N22"/>
    <mergeCell ref="A22:F22"/>
    <mergeCell ref="C23:F23"/>
    <mergeCell ref="O28:S28"/>
    <mergeCell ref="AA20:AB20"/>
    <mergeCell ref="AC20:AE20"/>
    <mergeCell ref="AF20:AH20"/>
    <mergeCell ref="AI20:AL20"/>
    <mergeCell ref="T21:V21"/>
    <mergeCell ref="W21:Z21"/>
    <mergeCell ref="AI21:AL21"/>
    <mergeCell ref="A30:N30"/>
    <mergeCell ref="G23:J23"/>
    <mergeCell ref="K23:N23"/>
    <mergeCell ref="O23:S23"/>
    <mergeCell ref="AI23:AL23"/>
    <mergeCell ref="T24:V24"/>
    <mergeCell ref="W24:Z24"/>
    <mergeCell ref="AI24:AL24"/>
    <mergeCell ref="W22:Z22"/>
    <mergeCell ref="AA22:AB22"/>
    <mergeCell ref="AC22:AE22"/>
    <mergeCell ref="AF22:AH22"/>
    <mergeCell ref="AI22:AL22"/>
    <mergeCell ref="T23:V23"/>
    <mergeCell ref="W23:Z23"/>
    <mergeCell ref="AA23:AB23"/>
    <mergeCell ref="AC23:AE23"/>
  </mergeCells>
  <printOptions horizontalCentered="1"/>
  <pageMargins left="0" right="0" top="0.11811023622047245" bottom="0.11811023622047245" header="0" footer="0"/>
  <pageSetup paperSize="9" scale="95" fitToWidth="0" orientation="portrait" r:id="rId1"/>
  <colBreaks count="2" manualBreakCount="2">
    <brk id="19" max="1048575" man="1"/>
    <brk id="38" max="1048575"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965A5775-4DD7-42E2-8418-F44884A575D3}">
          <x14:formula1>
            <xm:f>'Investor Data'!$C$2:$C$8</xm:f>
          </x14:formula1>
          <xm:sqref>E16:I16</xm:sqref>
        </x14:dataValidation>
        <x14:dataValidation type="list" allowBlank="1" showInputMessage="1" showErrorMessage="1" xr:uid="{694D2550-54BF-4FFB-A10E-5917A4B40715}">
          <x14:formula1>
            <xm:f>'Investor Data'!$D$2:$D$7</xm:f>
          </x14:formula1>
          <xm:sqref>E19:I19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761F7-984E-425C-BE4E-76CBE140BCC7}">
  <sheetPr codeName="Sheet8">
    <tabColor rgb="FF0070C0"/>
    <pageSetUpPr fitToPage="1"/>
  </sheetPr>
  <dimension ref="A1:S35"/>
  <sheetViews>
    <sheetView showWhiteSpace="0" view="pageLayout" zoomScaleNormal="145" zoomScaleSheetLayoutView="100" workbookViewId="0">
      <selection activeCell="J15" sqref="J15:M15"/>
    </sheetView>
  </sheetViews>
  <sheetFormatPr defaultColWidth="4.81640625" defaultRowHeight="15" customHeight="1" x14ac:dyDescent="0.35"/>
  <cols>
    <col min="1" max="18" width="5.7265625" customWidth="1"/>
    <col min="19" max="19" width="1.54296875" customWidth="1"/>
  </cols>
  <sheetData>
    <row r="1" spans="1:19" ht="15" customHeight="1" x14ac:dyDescent="0.35">
      <c r="A1" s="54" t="e" vm="1">
        <v>#VALUE!</v>
      </c>
      <c r="B1" s="54"/>
      <c r="C1" s="23"/>
    </row>
    <row r="2" spans="1:19" ht="15" customHeight="1" x14ac:dyDescent="0.35">
      <c r="A2" s="54"/>
      <c r="B2" s="54"/>
      <c r="C2" s="23"/>
    </row>
    <row r="3" spans="1:19" ht="15" customHeight="1" x14ac:dyDescent="0.35">
      <c r="A3" s="54"/>
      <c r="B3" s="54"/>
      <c r="C3" s="23"/>
    </row>
    <row r="4" spans="1:19" ht="15" customHeight="1" x14ac:dyDescent="0.35">
      <c r="A4" s="54"/>
      <c r="B4" s="54"/>
      <c r="C4" s="23"/>
    </row>
    <row r="5" spans="1:19" ht="15" customHeight="1" x14ac:dyDescent="0.35">
      <c r="K5" s="55" t="s">
        <v>186</v>
      </c>
      <c r="L5" s="55"/>
      <c r="M5" s="55"/>
      <c r="N5" s="55"/>
      <c r="O5" s="55"/>
      <c r="P5" s="55"/>
      <c r="Q5" s="55"/>
      <c r="R5" s="55"/>
      <c r="S5" s="55"/>
    </row>
    <row r="6" spans="1:19" ht="15" customHeight="1" x14ac:dyDescent="0.35">
      <c r="K6" s="56"/>
      <c r="L6" s="56"/>
      <c r="M6" s="56"/>
      <c r="N6" s="56"/>
      <c r="O6" s="56"/>
      <c r="P6" s="56"/>
      <c r="Q6" s="56"/>
      <c r="R6" s="56"/>
    </row>
    <row r="7" spans="1:19" ht="15" customHeight="1" x14ac:dyDescent="0.35">
      <c r="L7" s="53" t="s">
        <v>61</v>
      </c>
      <c r="M7" s="53"/>
      <c r="N7" s="53"/>
      <c r="O7" s="53" t="s">
        <v>134</v>
      </c>
      <c r="P7" s="53"/>
      <c r="Q7" s="53"/>
      <c r="R7" s="53"/>
    </row>
    <row r="8" spans="1:19" ht="15" customHeight="1" x14ac:dyDescent="0.35">
      <c r="A8" s="52" t="str">
        <f>UPPER(DRN)</f>
        <v>NG MON TENG</v>
      </c>
      <c r="B8" s="52"/>
      <c r="C8" s="52"/>
      <c r="D8" s="52"/>
      <c r="E8" s="52"/>
      <c r="F8" s="52"/>
      <c r="G8" s="52"/>
      <c r="H8" s="52"/>
      <c r="I8" s="24"/>
      <c r="L8" s="53" t="s">
        <v>90</v>
      </c>
      <c r="M8" s="53"/>
      <c r="N8" s="53"/>
      <c r="O8" s="53" t="str">
        <f ca="1">":  " &amp; TEXT(TODAY(),"dd-mm-yyy")</f>
        <v>:  19-07-2026</v>
      </c>
      <c r="P8" s="53"/>
      <c r="Q8" s="53"/>
      <c r="R8" s="53"/>
    </row>
    <row r="9" spans="1:19" ht="15" customHeight="1" x14ac:dyDescent="0.35">
      <c r="A9" s="52" t="str">
        <f>_xlfn.XLOOKUP(DRN,InvProfile[Registered Name],InvProfile[Address])</f>
        <v>No.19 Jalan Rusa</v>
      </c>
      <c r="B9" s="52"/>
      <c r="C9" s="52"/>
      <c r="D9" s="52"/>
      <c r="E9" s="52"/>
      <c r="F9" s="52"/>
      <c r="G9" s="52"/>
      <c r="H9" s="52"/>
      <c r="I9" s="24"/>
      <c r="L9" s="53" t="s">
        <v>67</v>
      </c>
      <c r="M9" s="53"/>
      <c r="N9" s="53"/>
      <c r="O9" s="53" t="s">
        <v>188</v>
      </c>
      <c r="P9" s="53"/>
      <c r="Q9" s="53"/>
      <c r="R9" s="53"/>
    </row>
    <row r="10" spans="1:19" ht="15" customHeight="1" x14ac:dyDescent="0.35">
      <c r="A10" s="52" t="str">
        <f>_xlfn.XLOOKUP(DRN,InvProfile[Registered Name],InvProfile[Taman])</f>
        <v>Taman Mohammad Yassin</v>
      </c>
      <c r="B10" s="52"/>
      <c r="C10" s="52"/>
      <c r="D10" s="52"/>
      <c r="E10" s="52"/>
      <c r="F10" s="52"/>
      <c r="G10" s="52"/>
      <c r="H10" s="52"/>
      <c r="I10" s="24"/>
      <c r="L10" s="53" t="s">
        <v>58</v>
      </c>
      <c r="M10" s="53"/>
      <c r="N10" s="53"/>
      <c r="O10" s="58">
        <f ca="1">TODAY()-Adj</f>
        <v>46221</v>
      </c>
      <c r="P10" s="58"/>
      <c r="Q10" s="58"/>
      <c r="R10" s="58"/>
    </row>
    <row r="11" spans="1:19" ht="15" customHeight="1" x14ac:dyDescent="0.35">
      <c r="A11" s="52" t="str">
        <f>_xlfn.XLOOKUP(DRN,InvProfile[Registered Name],InvProfile[Postcode])</f>
        <v>86200 Simpang Renggam</v>
      </c>
      <c r="B11" s="52"/>
      <c r="C11" s="52"/>
      <c r="D11" s="52"/>
      <c r="E11" s="52"/>
      <c r="F11" s="52"/>
      <c r="G11" s="52"/>
      <c r="H11" s="52"/>
      <c r="L11" s="53" t="s">
        <v>59</v>
      </c>
      <c r="M11" s="53"/>
      <c r="N11" s="53"/>
      <c r="O11" s="53" t="s">
        <v>63</v>
      </c>
      <c r="P11" s="53"/>
      <c r="Q11" s="53"/>
      <c r="R11" s="53"/>
    </row>
    <row r="12" spans="1:19" ht="15" customHeight="1" x14ac:dyDescent="0.35">
      <c r="L12" s="53" t="s">
        <v>60</v>
      </c>
      <c r="M12" s="53"/>
      <c r="N12" s="53"/>
      <c r="O12" s="53" t="s">
        <v>64</v>
      </c>
      <c r="P12" s="53"/>
      <c r="Q12" s="53"/>
      <c r="R12" s="53"/>
    </row>
    <row r="14" spans="1:19" ht="29.5" customHeight="1" x14ac:dyDescent="0.35">
      <c r="A14" s="57" t="s">
        <v>88</v>
      </c>
      <c r="B14" s="57"/>
      <c r="C14" s="57"/>
      <c r="D14" s="57"/>
    </row>
    <row r="15" spans="1:19" ht="29.5" customHeight="1" x14ac:dyDescent="0.35">
      <c r="A15" s="59" t="s">
        <v>144</v>
      </c>
      <c r="B15" s="59"/>
      <c r="C15" s="59"/>
      <c r="D15" s="59"/>
      <c r="E15" s="59" t="str">
        <f>_xlfn.XLOOKUP(DRN,InvProfile[Registered Name],InvProfile[Account Type])</f>
        <v>Nominee Account</v>
      </c>
      <c r="F15" s="59"/>
      <c r="G15" s="59"/>
      <c r="H15" s="59"/>
      <c r="I15" s="59"/>
      <c r="J15" s="59" t="s">
        <v>147</v>
      </c>
      <c r="K15" s="59"/>
      <c r="L15" s="59"/>
      <c r="M15" s="59"/>
      <c r="N15" s="59" t="str" cm="1">
        <f t="array" ref="N15">_xlfn._xlws.FILTER(InvProfile[Account ID],(InvProfile[Registered Name]=DRN)*(InvProfile[Nominee]=DNN))</f>
        <v>DA00260313</v>
      </c>
      <c r="O15" s="59"/>
      <c r="P15" s="59"/>
      <c r="Q15" s="59"/>
      <c r="R15" s="59"/>
      <c r="S15" s="59"/>
    </row>
    <row r="16" spans="1:19" ht="29.5" customHeight="1" x14ac:dyDescent="0.35">
      <c r="A16" s="59" t="s">
        <v>145</v>
      </c>
      <c r="B16" s="59"/>
      <c r="C16" s="59"/>
      <c r="D16" s="59"/>
      <c r="E16" s="59" t="s">
        <v>107</v>
      </c>
      <c r="F16" s="59"/>
      <c r="G16" s="59"/>
      <c r="H16" s="59"/>
      <c r="I16" s="59"/>
      <c r="J16" s="59" t="s">
        <v>75</v>
      </c>
      <c r="K16" s="59"/>
      <c r="L16" s="59"/>
      <c r="M16" s="59"/>
      <c r="N16" s="59" t="str">
        <f>_xlfn.XLOOKUP(DRN,InvProfile[Registered Name],InvProfile[Settlement])</f>
        <v>Banking</v>
      </c>
      <c r="O16" s="59"/>
      <c r="P16" s="59"/>
      <c r="Q16" s="59"/>
      <c r="R16" s="59"/>
      <c r="S16" s="59"/>
    </row>
    <row r="17" spans="1:19" ht="29.5" customHeight="1" x14ac:dyDescent="0.35">
      <c r="A17" s="59" t="s">
        <v>146</v>
      </c>
      <c r="B17" s="59"/>
      <c r="C17" s="59"/>
      <c r="D17" s="59"/>
      <c r="E17" s="59" t="str">
        <f>_xlfn.XLOOKUP(DRN,InvProfile[Registered Name],InvProfile[Phone])</f>
        <v>(+60)12 - 7188 288</v>
      </c>
      <c r="F17" s="59"/>
      <c r="G17" s="59"/>
      <c r="H17" s="59"/>
      <c r="I17" s="59"/>
      <c r="J17" s="59" t="s">
        <v>71</v>
      </c>
      <c r="K17" s="59"/>
      <c r="L17" s="59"/>
      <c r="M17" s="59"/>
      <c r="N17" s="59" t="str">
        <f>_xlfn.XLOOKUP(DRN,InvProfile[Registered Name],InvProfile[Bank Name])</f>
        <v>RHB Bank</v>
      </c>
      <c r="O17" s="59"/>
      <c r="P17" s="59"/>
      <c r="Q17" s="59"/>
      <c r="R17" s="59"/>
      <c r="S17" s="59"/>
    </row>
    <row r="18" spans="1:19" ht="29.5" customHeight="1" x14ac:dyDescent="0.35">
      <c r="A18" s="59" t="s">
        <v>59</v>
      </c>
      <c r="B18" s="59"/>
      <c r="C18" s="59"/>
      <c r="D18" s="59"/>
      <c r="E18" s="59" t="str">
        <f>_xlfn.XLOOKUP(DRN,InvProfile[Registered Name],InvProfile[Email])</f>
        <v>osaka88@gmail.com</v>
      </c>
      <c r="F18" s="59"/>
      <c r="G18" s="59"/>
      <c r="H18" s="59"/>
      <c r="I18" s="59"/>
      <c r="J18" s="59" t="s">
        <v>69</v>
      </c>
      <c r="K18" s="59"/>
      <c r="L18" s="59"/>
      <c r="M18" s="59"/>
      <c r="N18" s="59" t="str">
        <f>_xlfn.XLOOKUP(DRN,InvProfile[Registered Name],InvProfile[Bank Acc])</f>
        <v>2013 1630 0173 90</v>
      </c>
      <c r="O18" s="59"/>
      <c r="P18" s="59"/>
      <c r="Q18" s="59"/>
      <c r="R18" s="59"/>
      <c r="S18" s="59"/>
    </row>
    <row r="19" spans="1:19" ht="29.5" customHeight="1" x14ac:dyDescent="0.35">
      <c r="A19" s="59" t="str">
        <f>IF(LEFT(E15,1)="j","Joint Ratio","Nominee Name")</f>
        <v>Nominee Name</v>
      </c>
      <c r="B19" s="59"/>
      <c r="C19" s="59"/>
      <c r="D19" s="59"/>
      <c r="E19" s="59" t="s">
        <v>108</v>
      </c>
      <c r="F19" s="59"/>
      <c r="G19" s="59"/>
      <c r="H19" s="59"/>
      <c r="I19" s="59"/>
      <c r="J19" s="59" t="s">
        <v>167</v>
      </c>
      <c r="K19" s="59"/>
      <c r="L19" s="59"/>
      <c r="M19" s="59"/>
      <c r="N19" s="60" t="str" cm="1">
        <f t="array" aca="1" ref="N19" ca="1">TEXT(TODAY()-_xlfn._xlws.FILTER(InvProfile[Issued Date],(InvProfile[Registered Name]=DRN)*(InvProfile[Nominee]=DNN))-Adj,"#,##0") &amp; "  days"</f>
        <v>127  days</v>
      </c>
      <c r="O19" s="60"/>
      <c r="P19" s="60"/>
      <c r="Q19" s="60"/>
      <c r="R19" s="60"/>
      <c r="S19" s="60"/>
    </row>
    <row r="20" spans="1:19" ht="29.5" customHeight="1" x14ac:dyDescent="0.35">
      <c r="A20" s="32"/>
      <c r="B20" s="32"/>
      <c r="C20" s="32"/>
      <c r="D20" s="32"/>
      <c r="E20" s="35"/>
      <c r="F20" s="35"/>
      <c r="G20" s="35"/>
      <c r="H20" s="35"/>
      <c r="I20" s="35"/>
      <c r="J20" s="35"/>
      <c r="K20" s="35"/>
      <c r="L20" s="35"/>
      <c r="M20" s="35"/>
      <c r="N20" s="35"/>
      <c r="O20" s="35"/>
      <c r="P20" s="35"/>
      <c r="Q20" s="35"/>
      <c r="R20" s="35"/>
      <c r="S20" s="35"/>
    </row>
    <row r="21" spans="1:19" ht="29.5" customHeight="1" x14ac:dyDescent="0.35">
      <c r="A21" s="25" t="s">
        <v>93</v>
      </c>
      <c r="B21" s="32"/>
      <c r="C21" s="32"/>
      <c r="D21" s="32"/>
    </row>
    <row r="22" spans="1:19" ht="29.5" customHeight="1" x14ac:dyDescent="0.35">
      <c r="A22" s="72" t="s">
        <v>23</v>
      </c>
      <c r="B22" s="73"/>
      <c r="C22" s="73"/>
      <c r="D22" s="72" t="s">
        <v>52</v>
      </c>
      <c r="E22" s="73"/>
      <c r="F22" s="73"/>
      <c r="G22" s="67" t="s">
        <v>184</v>
      </c>
      <c r="H22" s="61"/>
      <c r="I22" s="61"/>
      <c r="J22" s="67" t="s">
        <v>185</v>
      </c>
      <c r="K22" s="61"/>
      <c r="L22" s="62"/>
      <c r="M22" s="61" t="s">
        <v>179</v>
      </c>
      <c r="N22" s="61"/>
      <c r="O22" s="62"/>
      <c r="P22" s="61" t="s">
        <v>180</v>
      </c>
      <c r="Q22" s="61"/>
      <c r="R22" s="61"/>
      <c r="S22" s="62"/>
    </row>
    <row r="23" spans="1:19" ht="29.5" customHeight="1" x14ac:dyDescent="0.35">
      <c r="A23" s="68">
        <f ca="1">TODAY()-Adj</f>
        <v>46221</v>
      </c>
      <c r="B23" s="69"/>
      <c r="C23" s="69"/>
      <c r="D23" s="70" t="s">
        <v>82</v>
      </c>
      <c r="E23" s="71"/>
      <c r="F23" s="71"/>
      <c r="G23" s="74">
        <v>0</v>
      </c>
      <c r="H23" s="75"/>
      <c r="I23" s="75"/>
      <c r="J23" s="76" t="s">
        <v>108</v>
      </c>
      <c r="K23" s="63"/>
      <c r="L23" s="64"/>
      <c r="M23" s="77">
        <v>0</v>
      </c>
      <c r="N23" s="77"/>
      <c r="O23" s="78"/>
      <c r="P23" s="63">
        <v>0</v>
      </c>
      <c r="Q23" s="63"/>
      <c r="R23" s="63"/>
      <c r="S23" s="64"/>
    </row>
    <row r="24" spans="1:19" ht="29.5" customHeight="1" x14ac:dyDescent="0.35">
      <c r="A24" s="68">
        <f ca="1">TODAY()-Adj</f>
        <v>46221</v>
      </c>
      <c r="B24" s="69"/>
      <c r="C24" s="69"/>
      <c r="D24" s="83" t="s">
        <v>178</v>
      </c>
      <c r="E24" s="71"/>
      <c r="F24" s="71"/>
      <c r="G24" s="74">
        <v>38000</v>
      </c>
      <c r="H24" s="75"/>
      <c r="I24" s="75"/>
      <c r="J24" s="76">
        <v>0.99403368366474099</v>
      </c>
      <c r="K24" s="63"/>
      <c r="L24" s="64"/>
      <c r="M24" s="77">
        <f>G24/J24</f>
        <v>38228.080823080345</v>
      </c>
      <c r="N24" s="77"/>
      <c r="O24" s="78"/>
      <c r="P24" s="63" t="s">
        <v>108</v>
      </c>
      <c r="Q24" s="63"/>
      <c r="R24" s="63"/>
      <c r="S24" s="64"/>
    </row>
    <row r="25" spans="1:19" ht="29.5" customHeight="1" x14ac:dyDescent="0.35">
      <c r="A25" s="79">
        <f ca="1">TODAY()-Adj</f>
        <v>46221</v>
      </c>
      <c r="B25" s="80"/>
      <c r="C25" s="80"/>
      <c r="D25" s="81" t="s">
        <v>85</v>
      </c>
      <c r="E25" s="82"/>
      <c r="F25" s="82"/>
      <c r="G25" s="86">
        <f>G23+G24</f>
        <v>38000</v>
      </c>
      <c r="H25" s="87"/>
      <c r="I25" s="87"/>
      <c r="J25" s="88" t="s">
        <v>108</v>
      </c>
      <c r="K25" s="84"/>
      <c r="L25" s="85"/>
      <c r="M25" s="89">
        <f>M23+M24</f>
        <v>38228.080823080345</v>
      </c>
      <c r="N25" s="89"/>
      <c r="O25" s="90"/>
      <c r="P25" s="84">
        <f>G25/M25</f>
        <v>0.99403368366474099</v>
      </c>
      <c r="Q25" s="84"/>
      <c r="R25" s="84"/>
      <c r="S25" s="85"/>
    </row>
    <row r="26" spans="1:19" ht="29.5" customHeight="1" x14ac:dyDescent="0.35">
      <c r="A26" s="51"/>
      <c r="B26" s="51"/>
      <c r="C26" s="51"/>
      <c r="D26" s="51"/>
      <c r="E26" s="51"/>
      <c r="F26" s="51"/>
      <c r="G26" s="51"/>
      <c r="H26" s="51"/>
      <c r="I26" s="51"/>
      <c r="J26" s="51"/>
      <c r="K26" s="51"/>
      <c r="L26" s="51"/>
      <c r="M26" s="51"/>
      <c r="N26" s="51"/>
      <c r="O26" s="51"/>
      <c r="P26" s="51"/>
      <c r="Q26" s="51"/>
      <c r="R26" s="51"/>
      <c r="S26" s="51"/>
    </row>
    <row r="27" spans="1:19" ht="29.5" customHeight="1" x14ac:dyDescent="0.35">
      <c r="A27" s="34"/>
      <c r="B27" s="34"/>
      <c r="C27" s="34"/>
      <c r="D27" s="35"/>
      <c r="E27" s="35"/>
      <c r="F27" s="35"/>
      <c r="G27" s="35"/>
      <c r="H27" s="35"/>
      <c r="I27" s="35"/>
      <c r="J27" s="35"/>
      <c r="K27" s="35"/>
      <c r="L27" s="35"/>
      <c r="M27" s="35"/>
      <c r="N27" s="35"/>
      <c r="O27" s="35"/>
      <c r="P27" s="35"/>
      <c r="Q27" s="35"/>
      <c r="R27" s="35"/>
      <c r="S27" s="35"/>
    </row>
    <row r="28" spans="1:19" ht="29.5" customHeight="1" x14ac:dyDescent="0.35">
      <c r="A28" s="42"/>
      <c r="B28" s="42"/>
      <c r="C28" s="42"/>
      <c r="D28" s="42"/>
      <c r="E28" s="42"/>
      <c r="F28" s="42"/>
      <c r="G28" s="23"/>
      <c r="H28" s="23"/>
      <c r="I28" s="23"/>
      <c r="J28" s="23"/>
      <c r="K28" s="23"/>
      <c r="L28" s="23"/>
      <c r="M28" s="23"/>
      <c r="N28" s="23"/>
      <c r="O28" s="23"/>
      <c r="P28" s="23"/>
      <c r="Q28" s="23"/>
      <c r="R28" s="23"/>
      <c r="S28" s="23"/>
    </row>
    <row r="29" spans="1:19" ht="29.5" customHeight="1" x14ac:dyDescent="0.35">
      <c r="A29" s="42"/>
      <c r="B29" s="42"/>
      <c r="C29" s="42"/>
      <c r="D29" s="42"/>
      <c r="E29" s="42"/>
      <c r="F29" s="42"/>
      <c r="G29" s="23"/>
      <c r="H29" s="23"/>
      <c r="I29" s="23"/>
      <c r="J29" s="23"/>
      <c r="K29" s="23"/>
      <c r="L29" s="23"/>
      <c r="M29" s="23"/>
      <c r="N29" s="23"/>
      <c r="O29" s="23"/>
      <c r="P29" s="23"/>
      <c r="Q29" s="23"/>
      <c r="R29" s="23"/>
      <c r="S29" s="23"/>
    </row>
    <row r="30" spans="1:19" ht="29.5" customHeight="1" x14ac:dyDescent="0.35">
      <c r="A30" s="45" t="s">
        <v>96</v>
      </c>
      <c r="B30" s="40"/>
      <c r="C30" s="43"/>
      <c r="D30" s="43"/>
      <c r="E30" s="43"/>
      <c r="F30" s="43"/>
      <c r="G30" s="36"/>
      <c r="H30" s="36"/>
      <c r="I30" s="33"/>
      <c r="J30" s="33"/>
      <c r="K30" s="33"/>
      <c r="L30" s="33"/>
      <c r="M30" s="33"/>
      <c r="N30" s="33"/>
      <c r="O30" s="33"/>
      <c r="P30" s="33"/>
      <c r="Q30" s="33"/>
      <c r="R30" s="33"/>
      <c r="S30" s="33"/>
    </row>
    <row r="31" spans="1:19" ht="29.5" customHeight="1" x14ac:dyDescent="0.35">
      <c r="A31" s="40"/>
      <c r="B31" s="40"/>
      <c r="C31" s="43"/>
      <c r="D31" s="43"/>
      <c r="E31" s="43"/>
      <c r="F31" s="43"/>
      <c r="G31" s="36"/>
      <c r="H31" s="36"/>
      <c r="I31" s="33"/>
      <c r="J31" s="33"/>
      <c r="K31" s="33"/>
      <c r="L31" s="33"/>
      <c r="M31" s="33"/>
      <c r="N31" s="33"/>
      <c r="O31" s="33"/>
      <c r="P31" s="33"/>
      <c r="Q31" s="33"/>
      <c r="R31" s="33"/>
      <c r="S31" s="33"/>
    </row>
    <row r="32" spans="1:19" ht="29.5" customHeight="1" x14ac:dyDescent="0.35"/>
    <row r="33" spans="1:19" ht="29.5" customHeight="1" x14ac:dyDescent="0.35">
      <c r="A33" s="33"/>
      <c r="B33" s="33"/>
      <c r="C33" s="37"/>
      <c r="D33" s="37"/>
      <c r="E33" s="37"/>
      <c r="F33" s="37"/>
      <c r="G33" s="38"/>
      <c r="H33" s="38"/>
      <c r="I33" s="38"/>
      <c r="J33" s="38"/>
      <c r="K33" s="38"/>
      <c r="L33" s="38"/>
      <c r="M33" s="38"/>
      <c r="N33" s="38"/>
      <c r="O33" s="39"/>
      <c r="P33" s="39"/>
      <c r="Q33" s="39"/>
      <c r="R33" s="39"/>
      <c r="S33" s="39"/>
    </row>
    <row r="34" spans="1:19" ht="27" customHeight="1" x14ac:dyDescent="0.35">
      <c r="A34" s="19"/>
      <c r="B34" s="19"/>
      <c r="C34" s="19"/>
      <c r="D34" s="19"/>
      <c r="E34" s="19"/>
      <c r="F34" s="19"/>
    </row>
    <row r="35" spans="1:19" ht="15" customHeight="1" x14ac:dyDescent="0.35">
      <c r="A35" s="65" t="s">
        <v>49</v>
      </c>
      <c r="B35" s="65"/>
      <c r="C35" s="65"/>
      <c r="D35" s="65"/>
      <c r="E35" s="65"/>
      <c r="F35" s="65"/>
      <c r="G35" s="66" t="s">
        <v>54</v>
      </c>
      <c r="H35" s="66"/>
      <c r="I35" s="66"/>
      <c r="J35" s="66"/>
      <c r="K35" s="66"/>
      <c r="L35" s="66"/>
      <c r="M35" s="66"/>
      <c r="N35" s="66"/>
      <c r="O35" s="66"/>
      <c r="P35" s="66"/>
      <c r="Q35" s="66"/>
      <c r="R35" s="66"/>
      <c r="S35" s="66"/>
    </row>
  </sheetData>
  <mergeCells count="67">
    <mergeCell ref="P24:S24"/>
    <mergeCell ref="P25:S25"/>
    <mergeCell ref="G25:I25"/>
    <mergeCell ref="J25:L25"/>
    <mergeCell ref="M25:O25"/>
    <mergeCell ref="A24:C24"/>
    <mergeCell ref="D24:F24"/>
    <mergeCell ref="G24:I24"/>
    <mergeCell ref="J24:L24"/>
    <mergeCell ref="M24:O24"/>
    <mergeCell ref="P22:S22"/>
    <mergeCell ref="P23:S23"/>
    <mergeCell ref="A35:F35"/>
    <mergeCell ref="G35:S35"/>
    <mergeCell ref="J22:L22"/>
    <mergeCell ref="M22:O22"/>
    <mergeCell ref="A23:C23"/>
    <mergeCell ref="D23:F23"/>
    <mergeCell ref="A22:C22"/>
    <mergeCell ref="D22:F22"/>
    <mergeCell ref="G22:I22"/>
    <mergeCell ref="G23:I23"/>
    <mergeCell ref="J23:L23"/>
    <mergeCell ref="M23:O23"/>
    <mergeCell ref="A25:C25"/>
    <mergeCell ref="D25:F25"/>
    <mergeCell ref="A17:D17"/>
    <mergeCell ref="E17:I17"/>
    <mergeCell ref="J17:M17"/>
    <mergeCell ref="N17:S17"/>
    <mergeCell ref="A19:D19"/>
    <mergeCell ref="A18:D18"/>
    <mergeCell ref="E18:I18"/>
    <mergeCell ref="J18:M18"/>
    <mergeCell ref="N18:S18"/>
    <mergeCell ref="E19:I19"/>
    <mergeCell ref="J19:M19"/>
    <mergeCell ref="N19:S19"/>
    <mergeCell ref="A15:D15"/>
    <mergeCell ref="E15:I15"/>
    <mergeCell ref="J15:M15"/>
    <mergeCell ref="N15:S15"/>
    <mergeCell ref="A16:D16"/>
    <mergeCell ref="E16:I16"/>
    <mergeCell ref="J16:M16"/>
    <mergeCell ref="N16:S16"/>
    <mergeCell ref="A11:H11"/>
    <mergeCell ref="L11:N11"/>
    <mergeCell ref="O11:R11"/>
    <mergeCell ref="L12:N12"/>
    <mergeCell ref="O12:R12"/>
    <mergeCell ref="A26:S26"/>
    <mergeCell ref="A8:H8"/>
    <mergeCell ref="L8:N8"/>
    <mergeCell ref="O8:R8"/>
    <mergeCell ref="A1:B4"/>
    <mergeCell ref="K5:S5"/>
    <mergeCell ref="K6:R6"/>
    <mergeCell ref="L7:N7"/>
    <mergeCell ref="O7:R7"/>
    <mergeCell ref="A14:D14"/>
    <mergeCell ref="A9:H9"/>
    <mergeCell ref="L9:N9"/>
    <mergeCell ref="O9:R9"/>
    <mergeCell ref="A10:H10"/>
    <mergeCell ref="L10:N10"/>
    <mergeCell ref="O10:R10"/>
  </mergeCells>
  <printOptions horizontalCentered="1"/>
  <pageMargins left="0" right="0" top="0.11811023622047245" bottom="0.11811023622047245" header="3.937007874015748E-2" footer="3.937007874015748E-2"/>
  <pageSetup paperSize="9" scale="95" fitToWidth="0" orientation="portrait" r:id="rId1"/>
  <colBreaks count="1" manualBreakCount="1">
    <brk id="19" max="1048575"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F506DB7-A4D6-4AC3-A337-6FC3CFC938BA}">
          <x14:formula1>
            <xm:f>'Investor Data'!$D$2:$D$7</xm:f>
          </x14:formula1>
          <xm:sqref>E19:I19</xm:sqref>
        </x14:dataValidation>
        <x14:dataValidation type="list" allowBlank="1" showInputMessage="1" showErrorMessage="1" xr:uid="{294ED927-2EFB-40BE-B722-8D0E1080B1DB}">
          <x14:formula1>
            <xm:f>'Investor Data'!$C$2:$C$8</xm:f>
          </x14:formula1>
          <xm:sqref>E16:I16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360E5-8DE6-4574-B854-56AA18E40907}">
  <sheetPr codeName="Sheet7">
    <tabColor rgb="FF0070C0"/>
    <pageSetUpPr fitToPage="1"/>
  </sheetPr>
  <dimension ref="A1:S35"/>
  <sheetViews>
    <sheetView showWhiteSpace="0" view="pageLayout" zoomScale="85" zoomScaleNormal="145" zoomScaleSheetLayoutView="100" zoomScalePageLayoutView="85" workbookViewId="0">
      <selection activeCell="M25" sqref="M25"/>
    </sheetView>
  </sheetViews>
  <sheetFormatPr defaultColWidth="4.81640625" defaultRowHeight="15" customHeight="1" x14ac:dyDescent="0.35"/>
  <cols>
    <col min="1" max="18" width="5.7265625" customWidth="1"/>
    <col min="19" max="19" width="1.54296875" customWidth="1"/>
  </cols>
  <sheetData>
    <row r="1" spans="1:19" ht="15" customHeight="1" x14ac:dyDescent="0.35">
      <c r="A1" s="54" t="e" vm="1">
        <v>#VALUE!</v>
      </c>
      <c r="B1" s="54"/>
      <c r="C1" s="23"/>
    </row>
    <row r="2" spans="1:19" ht="15" customHeight="1" x14ac:dyDescent="0.35">
      <c r="A2" s="54"/>
      <c r="B2" s="54"/>
      <c r="C2" s="23"/>
    </row>
    <row r="3" spans="1:19" ht="15" customHeight="1" x14ac:dyDescent="0.35">
      <c r="A3" s="54"/>
      <c r="B3" s="54"/>
      <c r="C3" s="23"/>
    </row>
    <row r="4" spans="1:19" ht="15" customHeight="1" x14ac:dyDescent="0.35">
      <c r="A4" s="54"/>
      <c r="B4" s="54"/>
      <c r="C4" s="23"/>
    </row>
    <row r="5" spans="1:19" ht="15" customHeight="1" x14ac:dyDescent="0.35">
      <c r="K5" s="55" t="s">
        <v>137</v>
      </c>
      <c r="L5" s="55"/>
      <c r="M5" s="55"/>
      <c r="N5" s="55"/>
      <c r="O5" s="55"/>
      <c r="P5" s="55"/>
      <c r="Q5" s="55"/>
      <c r="R5" s="55"/>
      <c r="S5" s="55"/>
    </row>
    <row r="6" spans="1:19" ht="15" customHeight="1" x14ac:dyDescent="0.35">
      <c r="K6" s="56"/>
      <c r="L6" s="56"/>
      <c r="M6" s="56"/>
      <c r="N6" s="56"/>
      <c r="O6" s="56"/>
      <c r="P6" s="56"/>
      <c r="Q6" s="56"/>
      <c r="R6" s="56"/>
    </row>
    <row r="7" spans="1:19" ht="15" customHeight="1" x14ac:dyDescent="0.35">
      <c r="L7" s="53" t="s">
        <v>61</v>
      </c>
      <c r="M7" s="53"/>
      <c r="N7" s="53"/>
      <c r="O7" s="53" t="s">
        <v>134</v>
      </c>
      <c r="P7" s="53"/>
      <c r="Q7" s="53"/>
      <c r="R7" s="53"/>
    </row>
    <row r="8" spans="1:19" ht="15" customHeight="1" x14ac:dyDescent="0.35">
      <c r="A8" s="52" t="str">
        <f>UPPER(Name)</f>
        <v>NG ZHI YAO</v>
      </c>
      <c r="B8" s="52"/>
      <c r="C8" s="52"/>
      <c r="D8" s="52"/>
      <c r="E8" s="52"/>
      <c r="F8" s="52"/>
      <c r="G8" s="52"/>
      <c r="H8" s="52"/>
      <c r="I8" s="24"/>
      <c r="L8" s="53" t="s">
        <v>90</v>
      </c>
      <c r="M8" s="53"/>
      <c r="N8" s="53"/>
      <c r="O8" s="53" t="str">
        <f ca="1">":  " &amp; TEXT(TODAY(),"dd-mm-yyy")</f>
        <v>:  19-07-2026</v>
      </c>
      <c r="P8" s="53"/>
      <c r="Q8" s="53"/>
      <c r="R8" s="53"/>
    </row>
    <row r="9" spans="1:19" ht="15" customHeight="1" x14ac:dyDescent="0.35">
      <c r="A9" s="52" t="str">
        <f>_xlfn.XLOOKUP(Name,InvProfile[Registered Name],InvProfile[Address])</f>
        <v>No.19 Jalan Rusa</v>
      </c>
      <c r="B9" s="52"/>
      <c r="C9" s="52"/>
      <c r="D9" s="52"/>
      <c r="E9" s="52"/>
      <c r="F9" s="52"/>
      <c r="G9" s="52"/>
      <c r="H9" s="52"/>
      <c r="I9" s="24"/>
      <c r="L9" s="53" t="s">
        <v>67</v>
      </c>
      <c r="M9" s="53"/>
      <c r="N9" s="53"/>
      <c r="O9" s="53" t="s">
        <v>136</v>
      </c>
      <c r="P9" s="53"/>
      <c r="Q9" s="53"/>
      <c r="R9" s="53"/>
    </row>
    <row r="10" spans="1:19" ht="15" customHeight="1" x14ac:dyDescent="0.35">
      <c r="A10" s="52" t="str">
        <f>_xlfn.XLOOKUP(Name,InvProfile[Registered Name],InvProfile[Taman])</f>
        <v>Taman Mohammad Yassin</v>
      </c>
      <c r="B10" s="52"/>
      <c r="C10" s="52"/>
      <c r="D10" s="52"/>
      <c r="E10" s="52"/>
      <c r="F10" s="52"/>
      <c r="G10" s="52"/>
      <c r="H10" s="52"/>
      <c r="I10" s="24"/>
      <c r="L10" s="53" t="s">
        <v>58</v>
      </c>
      <c r="M10" s="53"/>
      <c r="N10" s="53"/>
      <c r="O10" s="53" t="s">
        <v>139</v>
      </c>
      <c r="P10" s="53"/>
      <c r="Q10" s="53"/>
      <c r="R10" s="53"/>
    </row>
    <row r="11" spans="1:19" ht="15" customHeight="1" x14ac:dyDescent="0.35">
      <c r="A11" s="52" t="str">
        <f>_xlfn.XLOOKUP(Name,InvProfile[Registered Name],InvProfile[Postcode])</f>
        <v>86200 Simpang Renggam</v>
      </c>
      <c r="B11" s="52"/>
      <c r="C11" s="52"/>
      <c r="D11" s="52"/>
      <c r="E11" s="52"/>
      <c r="F11" s="52"/>
      <c r="G11" s="52"/>
      <c r="H11" s="52"/>
      <c r="L11" s="53" t="s">
        <v>59</v>
      </c>
      <c r="M11" s="53"/>
      <c r="N11" s="53"/>
      <c r="O11" s="53" t="s">
        <v>63</v>
      </c>
      <c r="P11" s="53"/>
      <c r="Q11" s="53"/>
      <c r="R11" s="53"/>
    </row>
    <row r="12" spans="1:19" ht="15" customHeight="1" x14ac:dyDescent="0.35">
      <c r="L12" s="53" t="s">
        <v>60</v>
      </c>
      <c r="M12" s="53"/>
      <c r="N12" s="53"/>
      <c r="O12" s="53" t="s">
        <v>64</v>
      </c>
      <c r="P12" s="53"/>
      <c r="Q12" s="53"/>
      <c r="R12" s="53"/>
    </row>
    <row r="14" spans="1:19" ht="29.5" customHeight="1" x14ac:dyDescent="0.35">
      <c r="A14" s="57" t="s">
        <v>88</v>
      </c>
      <c r="B14" s="57"/>
      <c r="C14" s="57"/>
      <c r="D14" s="57"/>
    </row>
    <row r="15" spans="1:19" ht="29.5" customHeight="1" x14ac:dyDescent="0.35">
      <c r="A15" s="59" t="s">
        <v>68</v>
      </c>
      <c r="B15" s="59"/>
      <c r="C15" s="59"/>
      <c r="D15" s="59"/>
      <c r="E15" s="59" t="s">
        <v>66</v>
      </c>
      <c r="F15" s="59"/>
      <c r="G15" s="59"/>
      <c r="H15" s="59"/>
      <c r="I15" s="59"/>
      <c r="J15" s="59" t="s">
        <v>75</v>
      </c>
      <c r="K15" s="59"/>
      <c r="L15" s="59"/>
      <c r="M15" s="59"/>
      <c r="N15" s="59" t="str">
        <f>_xlfn.XLOOKUP(Name,InvProfile[Registered Name],InvProfile[Settlement])</f>
        <v>Banking</v>
      </c>
      <c r="O15" s="59"/>
      <c r="P15" s="59"/>
      <c r="Q15" s="59"/>
      <c r="R15" s="59"/>
      <c r="S15" s="59"/>
    </row>
    <row r="16" spans="1:19" ht="29.5" customHeight="1" x14ac:dyDescent="0.35">
      <c r="A16" s="59" t="s">
        <v>72</v>
      </c>
      <c r="B16" s="59"/>
      <c r="C16" s="59"/>
      <c r="D16" s="59"/>
      <c r="E16" s="59" t="str">
        <f>_xlfn.XLOOKUP(Name,InvProfile[Registered Name],InvProfile[Phone])</f>
        <v>(+60)11 - 1121 8085</v>
      </c>
      <c r="F16" s="59"/>
      <c r="G16" s="59"/>
      <c r="H16" s="59"/>
      <c r="I16" s="59"/>
      <c r="J16" s="59" t="s">
        <v>71</v>
      </c>
      <c r="K16" s="59"/>
      <c r="L16" s="59"/>
      <c r="M16" s="59"/>
      <c r="N16" s="59" t="str">
        <f>_xlfn.XLOOKUP(Name,InvProfile[Registered Name],InvProfile[Bank Name])</f>
        <v>Hong Leong Bank</v>
      </c>
      <c r="O16" s="59"/>
      <c r="P16" s="59"/>
      <c r="Q16" s="59"/>
      <c r="R16" s="59"/>
      <c r="S16" s="59"/>
    </row>
    <row r="17" spans="1:19" ht="29.5" customHeight="1" x14ac:dyDescent="0.35">
      <c r="A17" s="59" t="s">
        <v>59</v>
      </c>
      <c r="B17" s="59"/>
      <c r="C17" s="59"/>
      <c r="D17" s="59"/>
      <c r="E17" s="157" t="str">
        <f>_xlfn.XLOOKUP(Name,InvProfile[Registered Name],InvProfile[Email])</f>
        <v>ngzy0825@gmail.com</v>
      </c>
      <c r="F17" s="157"/>
      <c r="G17" s="157"/>
      <c r="H17" s="157"/>
      <c r="I17" s="157"/>
      <c r="J17" s="59" t="s">
        <v>69</v>
      </c>
      <c r="K17" s="59"/>
      <c r="L17" s="59"/>
      <c r="M17" s="59"/>
      <c r="N17" s="59" t="str">
        <f>_xlfn.XLOOKUP(Name,InvProfile[Registered Name],InvProfile[Bank Acc])</f>
        <v>219 5015 0638</v>
      </c>
      <c r="O17" s="59"/>
      <c r="P17" s="59"/>
      <c r="Q17" s="59"/>
      <c r="R17" s="59"/>
      <c r="S17" s="59"/>
    </row>
    <row r="18" spans="1:19" ht="29.5" customHeight="1" x14ac:dyDescent="0.35">
      <c r="B18" s="33"/>
      <c r="C18" s="33"/>
      <c r="D18" s="33"/>
      <c r="F18" s="33"/>
      <c r="G18" s="33"/>
      <c r="H18" s="33"/>
      <c r="I18" s="33"/>
      <c r="K18" s="33"/>
      <c r="L18" s="33"/>
      <c r="M18" s="33"/>
      <c r="O18" s="33"/>
      <c r="P18" s="33"/>
      <c r="Q18" s="33"/>
      <c r="R18" s="33"/>
      <c r="S18" s="33"/>
    </row>
    <row r="19" spans="1:19" ht="29.5" customHeight="1" x14ac:dyDescent="0.35">
      <c r="A19" s="154" t="s">
        <v>135</v>
      </c>
      <c r="B19" s="154"/>
      <c r="C19" s="154"/>
      <c r="D19" s="154"/>
      <c r="E19" s="35"/>
      <c r="F19" s="35"/>
      <c r="G19" s="35"/>
      <c r="H19" s="35"/>
      <c r="I19" s="35"/>
      <c r="J19" s="35"/>
      <c r="K19" s="35"/>
      <c r="L19" s="35"/>
      <c r="M19" s="35"/>
      <c r="N19" s="35"/>
      <c r="O19" s="35"/>
      <c r="P19" s="35"/>
      <c r="Q19" s="35"/>
      <c r="R19" s="35"/>
      <c r="S19" s="35"/>
    </row>
    <row r="20" spans="1:19" ht="29.5" customHeight="1" x14ac:dyDescent="0.35">
      <c r="A20" s="72" t="s">
        <v>23</v>
      </c>
      <c r="B20" s="73"/>
      <c r="C20" s="73"/>
      <c r="D20" s="72" t="s">
        <v>52</v>
      </c>
      <c r="E20" s="73"/>
      <c r="F20" s="73"/>
      <c r="G20" s="108" t="s">
        <v>65</v>
      </c>
      <c r="H20" s="110"/>
      <c r="I20" s="110"/>
      <c r="J20" s="108" t="s">
        <v>128</v>
      </c>
      <c r="K20" s="109"/>
      <c r="L20" s="110" t="s">
        <v>129</v>
      </c>
      <c r="M20" s="110"/>
      <c r="N20" s="108" t="s">
        <v>80</v>
      </c>
      <c r="O20" s="109"/>
      <c r="P20" s="110" t="s">
        <v>81</v>
      </c>
      <c r="Q20" s="110"/>
      <c r="R20" s="110"/>
      <c r="S20" s="109"/>
    </row>
    <row r="21" spans="1:19" ht="29.5" customHeight="1" x14ac:dyDescent="0.35">
      <c r="A21" s="158">
        <v>46003</v>
      </c>
      <c r="B21" s="159"/>
      <c r="C21" s="159"/>
      <c r="D21" s="160" t="s">
        <v>130</v>
      </c>
      <c r="E21" s="161"/>
      <c r="F21" s="161"/>
      <c r="G21" s="172">
        <v>265199.49939999997</v>
      </c>
      <c r="H21" s="173"/>
      <c r="I21" s="173"/>
      <c r="J21" s="174">
        <v>2.63</v>
      </c>
      <c r="K21" s="175"/>
      <c r="L21" s="176">
        <f>N21/J21</f>
        <v>0.79847908745247154</v>
      </c>
      <c r="M21" s="176"/>
      <c r="N21" s="174">
        <v>2.1</v>
      </c>
      <c r="O21" s="175"/>
      <c r="P21" s="155">
        <f>G21*N21/100</f>
        <v>5569.1894874</v>
      </c>
      <c r="Q21" s="155"/>
      <c r="R21" s="155"/>
      <c r="S21" s="156"/>
    </row>
    <row r="22" spans="1:19" ht="29.5" customHeight="1" x14ac:dyDescent="0.35">
      <c r="A22" s="168">
        <v>46003</v>
      </c>
      <c r="B22" s="169"/>
      <c r="C22" s="169"/>
      <c r="D22" s="170" t="s">
        <v>131</v>
      </c>
      <c r="E22" s="171"/>
      <c r="F22" s="171"/>
      <c r="G22" s="177">
        <f>G21</f>
        <v>265199.49939999997</v>
      </c>
      <c r="H22" s="178"/>
      <c r="I22" s="178"/>
      <c r="J22" s="164">
        <v>8.3800000000000008</v>
      </c>
      <c r="K22" s="165"/>
      <c r="L22" s="179">
        <f>N22/J22</f>
        <v>0.11933174224343675</v>
      </c>
      <c r="M22" s="179"/>
      <c r="N22" s="164">
        <v>1</v>
      </c>
      <c r="O22" s="165"/>
      <c r="P22" s="162">
        <f>G22*N22/100</f>
        <v>2651.9949939999997</v>
      </c>
      <c r="Q22" s="162"/>
      <c r="R22" s="162"/>
      <c r="S22" s="163"/>
    </row>
    <row r="23" spans="1:19" ht="29.5" customHeight="1" x14ac:dyDescent="0.35">
      <c r="A23" s="166" t="s">
        <v>132</v>
      </c>
      <c r="B23" s="167"/>
      <c r="C23" s="167"/>
      <c r="D23" s="167"/>
      <c r="E23" s="167"/>
      <c r="F23" s="167"/>
      <c r="G23" s="167"/>
      <c r="H23" s="167"/>
      <c r="I23" s="167"/>
      <c r="J23" s="167"/>
      <c r="K23" s="167"/>
      <c r="L23" s="167"/>
      <c r="M23" s="167"/>
      <c r="N23" s="164">
        <f>N21+N22</f>
        <v>3.1</v>
      </c>
      <c r="O23" s="165"/>
      <c r="P23" s="162">
        <f>P21+P22</f>
        <v>8221.1844813999996</v>
      </c>
      <c r="Q23" s="162"/>
      <c r="R23" s="162"/>
      <c r="S23" s="163"/>
    </row>
    <row r="24" spans="1:19" ht="29.5" customHeight="1" x14ac:dyDescent="0.35">
      <c r="A24" s="41" t="s">
        <v>133</v>
      </c>
      <c r="B24" s="34"/>
      <c r="C24" s="34"/>
      <c r="D24" s="35"/>
      <c r="E24" s="35"/>
      <c r="F24" s="35"/>
      <c r="G24" s="35"/>
      <c r="H24" s="35"/>
      <c r="I24" s="35"/>
      <c r="J24" s="35"/>
      <c r="K24" s="35"/>
      <c r="L24" s="35"/>
      <c r="M24" s="35"/>
      <c r="N24" s="35"/>
      <c r="O24" s="35"/>
      <c r="P24" s="35"/>
      <c r="Q24" s="35"/>
      <c r="R24" s="35"/>
      <c r="S24" s="35"/>
    </row>
    <row r="25" spans="1:19" ht="29.5" customHeight="1" x14ac:dyDescent="0.35">
      <c r="A25" s="34"/>
      <c r="B25" s="34"/>
      <c r="C25" s="34"/>
      <c r="D25" s="35"/>
      <c r="E25" s="35"/>
      <c r="F25" s="35"/>
      <c r="G25" s="35"/>
      <c r="H25" s="35"/>
      <c r="I25" s="35"/>
      <c r="J25" s="35"/>
      <c r="K25" s="35"/>
      <c r="L25" s="35"/>
      <c r="M25" s="35"/>
      <c r="N25" s="35"/>
      <c r="O25" s="35"/>
      <c r="P25" s="35"/>
      <c r="Q25" s="35"/>
      <c r="R25" s="35"/>
      <c r="S25" s="35"/>
    </row>
    <row r="26" spans="1:19" ht="29.5" customHeight="1" x14ac:dyDescent="0.35">
      <c r="A26" s="34"/>
      <c r="B26" s="34"/>
      <c r="C26" s="34"/>
      <c r="D26" s="35"/>
      <c r="E26" s="35"/>
      <c r="F26" s="35"/>
      <c r="G26" s="35"/>
      <c r="H26" s="35"/>
      <c r="I26" s="35"/>
      <c r="J26" s="35"/>
      <c r="K26" s="35"/>
      <c r="L26" s="35"/>
      <c r="M26" s="35"/>
      <c r="N26" s="35"/>
      <c r="O26" s="35"/>
      <c r="P26" s="35"/>
      <c r="Q26" s="35"/>
      <c r="R26" s="35"/>
      <c r="S26" s="35"/>
    </row>
    <row r="27" spans="1:19" ht="29.5" customHeight="1" x14ac:dyDescent="0.35">
      <c r="A27" s="34"/>
      <c r="B27" s="34"/>
      <c r="C27" s="34"/>
      <c r="D27" s="35"/>
      <c r="E27" s="35"/>
      <c r="F27" s="35"/>
      <c r="G27" s="35"/>
      <c r="H27" s="35"/>
      <c r="I27" s="35"/>
      <c r="J27" s="35"/>
      <c r="K27" s="35"/>
      <c r="L27" s="35"/>
      <c r="M27" s="35"/>
      <c r="N27" s="35"/>
      <c r="O27" s="35"/>
      <c r="P27" s="35"/>
      <c r="Q27" s="35"/>
      <c r="R27" s="35"/>
      <c r="S27" s="35"/>
    </row>
    <row r="28" spans="1:19" ht="29.5" customHeight="1" x14ac:dyDescent="0.35">
      <c r="A28" s="42"/>
      <c r="B28" s="42"/>
      <c r="C28" s="42"/>
      <c r="D28" s="42"/>
      <c r="E28" s="42"/>
      <c r="F28" s="42"/>
      <c r="G28" s="23"/>
      <c r="H28" s="23"/>
      <c r="I28" s="23"/>
      <c r="J28" s="23"/>
      <c r="K28" s="23"/>
      <c r="L28" s="23"/>
      <c r="M28" s="23"/>
      <c r="N28" s="23"/>
      <c r="O28" s="23"/>
      <c r="P28" s="23"/>
      <c r="Q28" s="23"/>
      <c r="R28" s="23"/>
      <c r="S28" s="23"/>
    </row>
    <row r="29" spans="1:19" ht="29.5" customHeight="1" x14ac:dyDescent="0.35">
      <c r="A29" s="42"/>
      <c r="B29" s="42"/>
      <c r="C29" s="42"/>
      <c r="D29" s="42"/>
      <c r="E29" s="42"/>
      <c r="F29" s="42"/>
      <c r="G29" s="23"/>
      <c r="H29" s="23"/>
      <c r="I29" s="23"/>
      <c r="J29" s="23"/>
      <c r="K29" s="23"/>
      <c r="L29" s="23"/>
      <c r="M29" s="23"/>
      <c r="N29" s="23"/>
      <c r="O29" s="23"/>
      <c r="P29" s="23"/>
      <c r="Q29" s="23"/>
      <c r="R29" s="23"/>
      <c r="S29" s="23"/>
    </row>
    <row r="30" spans="1:19" ht="29.5" customHeight="1" x14ac:dyDescent="0.35">
      <c r="A30" s="45" t="s">
        <v>96</v>
      </c>
      <c r="B30" s="40"/>
      <c r="C30" s="43"/>
      <c r="D30" s="43"/>
      <c r="E30" s="43"/>
      <c r="F30" s="43"/>
      <c r="G30" s="36"/>
      <c r="H30" s="36"/>
      <c r="I30" s="33"/>
      <c r="J30" s="33"/>
      <c r="K30" s="33"/>
      <c r="L30" s="33"/>
      <c r="M30" s="33"/>
      <c r="N30" s="33"/>
      <c r="O30" s="33"/>
      <c r="P30" s="33"/>
      <c r="Q30" s="33"/>
      <c r="R30" s="33"/>
      <c r="S30" s="33"/>
    </row>
    <row r="31" spans="1:19" ht="29.5" customHeight="1" x14ac:dyDescent="0.35">
      <c r="A31" s="40"/>
      <c r="B31" s="40"/>
      <c r="C31" s="43"/>
      <c r="D31" s="43"/>
      <c r="E31" s="43"/>
      <c r="F31" s="43"/>
      <c r="G31" s="36"/>
      <c r="H31" s="36"/>
      <c r="I31" s="33"/>
      <c r="J31" s="33"/>
      <c r="K31" s="33"/>
      <c r="L31" s="33"/>
      <c r="M31" s="33"/>
      <c r="N31" s="33"/>
      <c r="O31" s="33"/>
      <c r="P31" s="33"/>
      <c r="Q31" s="33"/>
      <c r="R31" s="33"/>
      <c r="S31" s="33"/>
    </row>
    <row r="32" spans="1:19" ht="29.5" customHeight="1" x14ac:dyDescent="0.35"/>
    <row r="33" spans="1:19" ht="29.5" customHeight="1" x14ac:dyDescent="0.35">
      <c r="A33" s="33"/>
      <c r="B33" s="33"/>
      <c r="C33" s="37"/>
      <c r="D33" s="37"/>
      <c r="E33" s="37"/>
      <c r="F33" s="37"/>
      <c r="G33" s="38"/>
      <c r="H33" s="38"/>
      <c r="I33" s="38"/>
      <c r="J33" s="38"/>
      <c r="K33" s="38"/>
      <c r="L33" s="38"/>
      <c r="M33" s="38"/>
      <c r="N33" s="38"/>
      <c r="O33" s="39"/>
      <c r="P33" s="39"/>
      <c r="Q33" s="39"/>
      <c r="R33" s="39"/>
      <c r="S33" s="39"/>
    </row>
    <row r="34" spans="1:19" ht="27" customHeight="1" x14ac:dyDescent="0.35">
      <c r="A34" s="19"/>
      <c r="B34" s="19"/>
      <c r="C34" s="19"/>
      <c r="D34" s="19"/>
      <c r="E34" s="19"/>
      <c r="F34" s="19"/>
    </row>
    <row r="35" spans="1:19" ht="15" customHeight="1" x14ac:dyDescent="0.35">
      <c r="A35" s="65" t="s">
        <v>49</v>
      </c>
      <c r="B35" s="65"/>
      <c r="C35" s="65"/>
      <c r="D35" s="65"/>
      <c r="E35" s="65"/>
      <c r="F35" s="65"/>
      <c r="G35" s="66" t="s">
        <v>54</v>
      </c>
      <c r="H35" s="66"/>
      <c r="I35" s="66"/>
      <c r="J35" s="66"/>
      <c r="K35" s="66"/>
      <c r="L35" s="66"/>
      <c r="M35" s="66"/>
      <c r="N35" s="66"/>
      <c r="O35" s="66"/>
      <c r="P35" s="66"/>
      <c r="Q35" s="66"/>
      <c r="R35" s="66"/>
      <c r="S35" s="66"/>
    </row>
  </sheetData>
  <mergeCells count="59">
    <mergeCell ref="N20:O20"/>
    <mergeCell ref="P23:S23"/>
    <mergeCell ref="N23:O23"/>
    <mergeCell ref="A23:M23"/>
    <mergeCell ref="A22:C22"/>
    <mergeCell ref="D22:F22"/>
    <mergeCell ref="P22:S22"/>
    <mergeCell ref="G21:I21"/>
    <mergeCell ref="J21:K21"/>
    <mergeCell ref="L21:M21"/>
    <mergeCell ref="N21:O21"/>
    <mergeCell ref="G22:I22"/>
    <mergeCell ref="J22:K22"/>
    <mergeCell ref="L22:M22"/>
    <mergeCell ref="N22:O22"/>
    <mergeCell ref="A35:F35"/>
    <mergeCell ref="G35:S35"/>
    <mergeCell ref="P21:S21"/>
    <mergeCell ref="A17:D17"/>
    <mergeCell ref="E17:I17"/>
    <mergeCell ref="J17:M17"/>
    <mergeCell ref="N17:S17"/>
    <mergeCell ref="A19:D19"/>
    <mergeCell ref="A20:C20"/>
    <mergeCell ref="D20:F20"/>
    <mergeCell ref="P20:S20"/>
    <mergeCell ref="A21:C21"/>
    <mergeCell ref="D21:F21"/>
    <mergeCell ref="G20:I20"/>
    <mergeCell ref="J20:K20"/>
    <mergeCell ref="L20:M20"/>
    <mergeCell ref="A16:D16"/>
    <mergeCell ref="E16:I16"/>
    <mergeCell ref="J16:M16"/>
    <mergeCell ref="N16:S16"/>
    <mergeCell ref="L12:N12"/>
    <mergeCell ref="O12:R12"/>
    <mergeCell ref="A14:D14"/>
    <mergeCell ref="A15:D15"/>
    <mergeCell ref="E15:I15"/>
    <mergeCell ref="J15:M15"/>
    <mergeCell ref="N15:S15"/>
    <mergeCell ref="A11:H11"/>
    <mergeCell ref="L11:N11"/>
    <mergeCell ref="O11:R11"/>
    <mergeCell ref="A10:H10"/>
    <mergeCell ref="L10:N10"/>
    <mergeCell ref="O10:R10"/>
    <mergeCell ref="A1:B4"/>
    <mergeCell ref="K5:S5"/>
    <mergeCell ref="K6:R6"/>
    <mergeCell ref="A9:H9"/>
    <mergeCell ref="L9:N9"/>
    <mergeCell ref="O9:R9"/>
    <mergeCell ref="L7:N7"/>
    <mergeCell ref="O7:R7"/>
    <mergeCell ref="A8:H8"/>
    <mergeCell ref="L8:N8"/>
    <mergeCell ref="O8:R8"/>
  </mergeCells>
  <hyperlinks>
    <hyperlink ref="E17" r:id="rId1" display="ngzy0825@gmail.com" xr:uid="{ABDDFFBE-FC36-4A16-9475-4E79BD5F87C4}"/>
  </hyperlinks>
  <printOptions horizontalCentered="1"/>
  <pageMargins left="0" right="0" top="0.11811023622047245" bottom="0.11811023622047245" header="3.937007874015748E-2" footer="3.937007874015748E-2"/>
  <pageSetup paperSize="9" scale="95" fitToWidth="0" orientation="portrait" r:id="rId2"/>
  <colBreaks count="1" manualBreakCount="1">
    <brk id="19" max="1048575" man="1"/>
  </colBreaks>
  <drawing r:id="rId3"/>
  <extLst>
    <ext xmlns:x14="http://schemas.microsoft.com/office/spreadsheetml/2009/9/main" uri="{CCE6A557-97BC-4b89-ADB6-D9C93CAAB3DF}">
      <x14:dataValidations xmlns:xm="http://schemas.microsoft.com/office/excel/2006/main" count="1">
        <x14:dataValidation type="list" allowBlank="1" showInputMessage="1" showErrorMessage="1" xr:uid="{851C5D40-806C-49FF-B6BB-E1A67E1ADC7C}">
          <x14:formula1>
            <xm:f>'Investor Data'!$C$2:$C$7</xm:f>
          </x14:formula1>
          <xm:sqref>E15:I15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Control</vt:lpstr>
      <vt:lpstr>Data</vt:lpstr>
      <vt:lpstr>D2</vt:lpstr>
      <vt:lpstr>Investor Data</vt:lpstr>
      <vt:lpstr>Factsheet</vt:lpstr>
      <vt:lpstr>Annual</vt:lpstr>
      <vt:lpstr>Subscription</vt:lpstr>
      <vt:lpstr>Dividend</vt:lpstr>
      <vt:lpstr>Adj</vt:lpstr>
      <vt:lpstr>AID</vt:lpstr>
      <vt:lpstr>DNN</vt:lpstr>
      <vt:lpstr>DRN</vt:lpstr>
      <vt:lpstr>ID</vt:lpstr>
      <vt:lpstr>Dividend!Name</vt:lpstr>
      <vt:lpstr>Subscription!Name</vt:lpstr>
      <vt:lpstr>NN</vt:lpstr>
      <vt:lpstr>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ZHI YAO NG</dc:creator>
  <cp:lastModifiedBy>ZHI YAO NG</cp:lastModifiedBy>
  <cp:lastPrinted>2026-07-19T00:26:06Z</cp:lastPrinted>
  <dcterms:created xsi:type="dcterms:W3CDTF">2026-01-19T16:55:09Z</dcterms:created>
  <dcterms:modified xsi:type="dcterms:W3CDTF">2026-07-19T00:32:02Z</dcterms:modified>
</cp:coreProperties>
</file>